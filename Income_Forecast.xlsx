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atters Register" sheetId="2" state="visible" r:id="rId2"/>
    <sheet name="Forecast Log" sheetId="3" state="visible" r:id="rId3"/>
    <sheet name="Month-End Provisions" sheetId="4" state="visible" r:id="rId4"/>
    <sheet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£#,##0"/>
    <numFmt numFmtId="165" formatCode="yyyy-mm-dd"/>
    <numFmt numFmtId="166" formatCode="DD-MMM-YYYY"/>
    <numFmt numFmtId="167" formatCode="MMM-YYYY"/>
    <numFmt numFmtId="168" formatCode="0.0%"/>
    <numFmt numFmtId="169" formatCode="£#,##0;(£#,##0);-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2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" pivotButton="0" quotePrefix="0" xfId="0"/>
    <xf numFmtId="164" fontId="6" fillId="3" borderId="1" pivotButton="0" quotePrefix="0" xfId="0"/>
    <xf numFmtId="166" fontId="6" fillId="3" borderId="1" applyAlignment="1" pivotButton="0" quotePrefix="0" xfId="0">
      <alignment horizontal="center" vertical="center"/>
    </xf>
    <xf numFmtId="166" fontId="6" fillId="3" borderId="1" pivotButton="0" quotePrefix="0" xfId="0"/>
    <xf numFmtId="0" fontId="5" fillId="2" borderId="1" applyAlignment="1" pivotButton="0" quotePrefix="0" xfId="0">
      <alignment horizontal="center" vertical="center" wrapText="1"/>
    </xf>
    <xf numFmtId="167" fontId="6" fillId="3" borderId="1" applyAlignment="1" pivotButton="0" quotePrefix="0" xfId="0">
      <alignment horizontal="center" vertical="center"/>
    </xf>
    <xf numFmtId="164" fontId="7" fillId="0" borderId="1" pivotButton="0" quotePrefix="0" xfId="0"/>
    <xf numFmtId="168" fontId="6" fillId="3" borderId="1" applyAlignment="1" pivotButton="0" quotePrefix="0" xfId="0">
      <alignment horizontal="center" vertical="center"/>
    </xf>
    <xf numFmtId="169" fontId="4" fillId="4" borderId="1" pivotButton="0" quotePrefix="0" xfId="0"/>
    <xf numFmtId="169" fontId="7" fillId="4" borderId="1" pivotButton="0" quotePrefix="0" xfId="0"/>
    <xf numFmtId="169" fontId="4" fillId="0" borderId="1" pivotButton="0" quotePrefix="0" xfId="0"/>
    <xf numFmtId="167" fontId="6" fillId="3" borderId="1" pivotButton="0" quotePrefix="0" xfId="0"/>
    <xf numFmtId="167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pivotButton="0" quotePrefix="0" xfId="0"/>
    <xf numFmtId="169" fontId="7" fillId="0" borderId="1" pivotButton="0" quotePrefix="0" xfId="0"/>
    <xf numFmtId="168" fontId="4" fillId="0" borderId="1" applyAlignment="1" pivotButton="0" quotePrefix="0" xfId="0">
      <alignment horizontal="center" vertical="center"/>
    </xf>
    <xf numFmtId="0" fontId="8" fillId="5" borderId="1" pivotButton="0" quotePrefix="0" xfId="0"/>
    <xf numFmtId="169" fontId="8" fillId="5" borderId="1" pivotButton="0" quotePrefix="0" xfId="0"/>
  </cellXfs>
  <cellStyles count="1">
    <cellStyle name="Normal" xfId="0" builtinId="0" hidden="0"/>
  </cellStyles>
  <dxfs count="2">
    <dxf>
      <font>
        <name val="Arial"/>
        <color rgb="00843C0C"/>
        <sz val="10"/>
      </font>
      <fill>
        <patternFill patternType="solid">
          <fgColor rgb="00F8CBAD"/>
        </patternFill>
      </fill>
    </dxf>
    <dxf>
      <font>
        <name val="Arial"/>
        <color rgb="00806000"/>
        <sz val="10"/>
      </font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Forecast vs Actual NFI by Month (FY Sep 2026 – Aug 2027)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</f>
            </strRef>
          </tx>
          <spPr>
            <a:ln>
              <a:prstDash val="solid"/>
            </a:ln>
          </spPr>
          <cat>
            <numRef>
              <f>'Dashboard'!$A$5:$A$16</f>
            </numRef>
          </cat>
          <val>
            <numRef>
              <f>'Dashboard'!$B$5:$B$16</f>
            </numRef>
          </val>
        </ser>
        <ser>
          <idx val="1"/>
          <order val="1"/>
          <tx>
            <strRef>
              <f>'Dashboard'!C4</f>
            </strRef>
          </tx>
          <spPr>
            <a:ln>
              <a:prstDash val="solid"/>
            </a:ln>
          </spPr>
          <cat>
            <numRef>
              <f>'Dashboard'!$A$5:$A$16</f>
            </numRef>
          </cat>
          <val>
            <numRef>
              <f>'Dashboard'!$C$5:$C$16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atters" displayName="tblMatters" ref="A4:H24" headerRowCount="1">
  <autoFilter ref="A4:H24"/>
  <tableColumns count="8">
    <tableColumn id="1" name="Matter Code"/>
    <tableColumn id="2" name="Client"/>
    <tableColumn id="3" name="Engagement Name"/>
    <tableColumn id="4" name="Engagement Manager"/>
    <tableColumn id="5" name="Total Fee (£)"/>
    <tableColumn id="6" name="Start Date"/>
    <tableColumn id="7" name="Expected End Date"/>
    <tableColumn id="8" name="Status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Provisions" displayName="tblProvisions" ref="A4:C28" headerRowCount="1">
  <autoFilter ref="A4:C28"/>
  <tableColumns count="3">
    <tableColumn id="1" name="Matter Code"/>
    <tableColumn id="2" name="Month"/>
    <tableColumn id="3" name="NFI Amount (£)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A1" s="1" t="inlineStr">
        <is>
          <t>Consultancy Income Forecast</t>
        </is>
      </c>
    </row>
    <row r="2">
      <c r="A2" s="2" t="inlineStr">
        <is>
          <t>Percentage-of-completion revenue recognition for confirmed engagements · GBP (£) · Financial year September–August</t>
        </is>
      </c>
    </row>
    <row r="4">
      <c r="B4" s="3" t="inlineStr">
        <is>
          <t>How this workbook works</t>
        </is>
      </c>
    </row>
    <row r="5" ht="60" customHeight="1">
      <c r="B5" s="4" t="inlineStr">
        <is>
          <t>Every engagement is confirmed work with a Matter Code and an agreed fixed fee. Each month the engagement manager (EM) sets the cumulative % complete; the workbook recognises the corresponding slice of the fee. Actual net fee income (NFI) is pulled automatically from the Month-End Provisions tab and compared against the forecast, and any variance is flagged.</t>
        </is>
      </c>
    </row>
    <row r="6">
      <c r="B6" s="3" t="inlineStr">
        <is>
          <t>The five tabs</t>
        </is>
      </c>
    </row>
    <row r="7" ht="30" customHeight="1">
      <c r="B7" s="4" t="inlineStr">
        <is>
          <t>1.  Matters Register — master list of engagements (Matter Code, client, EM, total fixed fee, dates, status). Add a row here first for every new confirmed engagement.</t>
        </is>
      </c>
    </row>
    <row r="8" ht="45" customHeight="1">
      <c r="B8" s="4" t="inlineStr">
        <is>
          <t>2.  Forecast Log — the working record. One row per engagement per month. You enter the Matter Code, the Month, and the cumulative % complete. Everything else calculates. This is the permanent, append-only history — never overwrite a past month's row; add a new row for the new month.</t>
        </is>
      </c>
    </row>
    <row r="9" ht="30" customHeight="1">
      <c r="B9" s="4" t="inlineStr">
        <is>
          <t>3.  Month-End Provisions — paste your monthly NFI provisions extract here (Matter Code, Month, NFI Amount). The Forecast Log reads actuals from this tab by matching Matter Code + Month.</t>
        </is>
      </c>
    </row>
    <row r="10" ht="30" customHeight="1">
      <c r="B10" s="4" t="inlineStr">
        <is>
          <t>4.  Dashboard — portfolio roll-up by month, by engagement and by EM, with a forecast-vs-actual chart.</t>
        </is>
      </c>
    </row>
    <row r="11" ht="15" customHeight="1">
      <c r="B11" s="4" t="inlineStr">
        <is>
          <t>5.  Instructions — this page.</t>
        </is>
      </c>
    </row>
    <row r="12">
      <c r="B12" s="3" t="inlineStr">
        <is>
          <t>Monthly routine</t>
        </is>
      </c>
    </row>
    <row r="13" ht="15" customHeight="1">
      <c r="B13" s="4" t="inlineStr">
        <is>
          <t>a.  Paste the latest NFI provisions into Month-End Provisions.</t>
        </is>
      </c>
    </row>
    <row r="14" ht="30" customHeight="1">
      <c r="B14" s="4" t="inlineStr">
        <is>
          <t>b.  In the Forecast Log, add one new row per active engagement for the new month and enter the cumulative % complete.</t>
        </is>
      </c>
    </row>
    <row r="15" ht="30" customHeight="1">
      <c r="B15" s="4" t="inlineStr">
        <is>
          <t>c.  Review the Variance column. A red cell = actual came in UNDER forecast (under-variance); an amber cell = actual came in OVER forecast (over-variance).</t>
        </is>
      </c>
    </row>
    <row r="16" ht="45" customHeight="1">
      <c r="B16" s="4" t="inlineStr">
        <is>
          <t>d.  Re-allocate next month: use the Cumulative Actual and Remaining Fee columns to re-base your % complete so the remaining fee is spread across the remaining months. The workbook flags the variance; the EM decides how to re-spread it.</t>
        </is>
      </c>
    </row>
    <row r="17">
      <c r="B17" s="3" t="inlineStr">
        <is>
          <t>Colour key</t>
        </is>
      </c>
    </row>
    <row r="18" ht="30" customHeight="1">
      <c r="B18" s="4" t="inlineStr">
        <is>
          <t>Blue text on pale-yellow fill = cells you fill in.   Black text = calculated, do not edit.   Green text = pulled from another tab.   Red / amber fills = under / over variance flags.</t>
        </is>
      </c>
    </row>
    <row r="19">
      <c r="B19" s="3" t="inlineStr">
        <is>
          <t>Notes</t>
        </is>
      </c>
    </row>
    <row r="20" ht="45" customHeight="1">
      <c r="B20" s="4" t="inlineStr">
        <is>
          <t>· % complete is stored as a fraction (enter 25% or 0.25, not 25).   · All amounts are GBP.   · Dates are the first of the month (e.g. 01-Sep-2026 shows as Sep-2026).   · The three demo engagements (M-1001/1002/1003) are examples — delete them once you add your own.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6" customWidth="1" min="3" max="3"/>
    <col width="22" customWidth="1" min="4" max="4"/>
    <col width="14" customWidth="1" min="5" max="5"/>
    <col width="14" customWidth="1" min="6" max="6"/>
    <col width="16" customWidth="1" min="7" max="7"/>
    <col width="12" customWidth="1" min="8" max="8"/>
  </cols>
  <sheetData>
    <row r="1">
      <c r="A1" s="1" t="inlineStr">
        <is>
          <t>Matters Register</t>
        </is>
      </c>
    </row>
    <row r="2">
      <c r="A2" s="2" t="inlineStr">
        <is>
          <t>One row per confirmed engagement. Blue cells are inputs. Add new engagements below the demo rows.</t>
        </is>
      </c>
    </row>
    <row r="4">
      <c r="A4" s="5" t="inlineStr">
        <is>
          <t>Matter Code</t>
        </is>
      </c>
      <c r="B4" s="5" t="inlineStr">
        <is>
          <t>Client</t>
        </is>
      </c>
      <c r="C4" s="5" t="inlineStr">
        <is>
          <t>Engagement Name</t>
        </is>
      </c>
      <c r="D4" s="5" t="inlineStr">
        <is>
          <t>Engagement Manager</t>
        </is>
      </c>
      <c r="E4" s="5" t="inlineStr">
        <is>
          <t>Total Fee (£)</t>
        </is>
      </c>
      <c r="F4" s="5" t="inlineStr">
        <is>
          <t>Start Date</t>
        </is>
      </c>
      <c r="G4" s="5" t="inlineStr">
        <is>
          <t>Expected End Date</t>
        </is>
      </c>
      <c r="H4" s="5" t="inlineStr">
        <is>
          <t>Status</t>
        </is>
      </c>
    </row>
    <row r="5">
      <c r="A5" s="6" t="inlineStr">
        <is>
          <t>M-1001</t>
        </is>
      </c>
      <c r="B5" s="7" t="inlineStr">
        <is>
          <t>Aurora Retail Group</t>
        </is>
      </c>
      <c r="C5" s="7" t="inlineStr">
        <is>
          <t>Supply Chain Diagnostic</t>
        </is>
      </c>
      <c r="D5" s="7" t="inlineStr">
        <is>
          <t>Priya Shah</t>
        </is>
      </c>
      <c r="E5" s="8" t="n">
        <v>120000</v>
      </c>
      <c r="F5" s="9" t="n">
        <v>46266</v>
      </c>
      <c r="G5" s="9" t="n">
        <v>46446</v>
      </c>
      <c r="H5" s="7" t="inlineStr">
        <is>
          <t>Active</t>
        </is>
      </c>
    </row>
    <row r="6">
      <c r="A6" s="6" t="inlineStr">
        <is>
          <t>M-1002</t>
        </is>
      </c>
      <c r="B6" s="7" t="inlineStr">
        <is>
          <t>Northwind Energy</t>
        </is>
      </c>
      <c r="C6" s="7" t="inlineStr">
        <is>
          <t>Cost Transformation</t>
        </is>
      </c>
      <c r="D6" s="7" t="inlineStr">
        <is>
          <t>James Okoro</t>
        </is>
      </c>
      <c r="E6" s="8" t="n">
        <v>90000</v>
      </c>
      <c r="F6" s="9" t="n">
        <v>46296</v>
      </c>
      <c r="G6" s="9" t="n">
        <v>46477</v>
      </c>
      <c r="H6" s="7" t="inlineStr">
        <is>
          <t>Active</t>
        </is>
      </c>
    </row>
    <row r="7">
      <c r="A7" s="6" t="inlineStr">
        <is>
          <t>M-1003</t>
        </is>
      </c>
      <c r="B7" s="7" t="inlineStr">
        <is>
          <t>Meridian Health</t>
        </is>
      </c>
      <c r="C7" s="7" t="inlineStr">
        <is>
          <t>Operating Model Review</t>
        </is>
      </c>
      <c r="D7" s="7" t="inlineStr">
        <is>
          <t>Priya Shah</t>
        </is>
      </c>
      <c r="E7" s="8" t="n">
        <v>60000</v>
      </c>
      <c r="F7" s="9" t="n">
        <v>46266</v>
      </c>
      <c r="G7" s="9" t="n">
        <v>46387</v>
      </c>
      <c r="H7" s="7" t="inlineStr">
        <is>
          <t>Active</t>
        </is>
      </c>
    </row>
    <row r="8">
      <c r="A8" s="7" t="n"/>
      <c r="B8" s="7" t="n"/>
      <c r="C8" s="7" t="n"/>
      <c r="D8" s="7" t="n"/>
      <c r="E8" s="8" t="n"/>
      <c r="F8" s="10" t="n"/>
      <c r="G8" s="10" t="n"/>
      <c r="H8" s="7" t="n"/>
    </row>
    <row r="9">
      <c r="A9" s="7" t="n"/>
      <c r="B9" s="7" t="n"/>
      <c r="C9" s="7" t="n"/>
      <c r="D9" s="7" t="n"/>
      <c r="E9" s="8" t="n"/>
      <c r="F9" s="10" t="n"/>
      <c r="G9" s="10" t="n"/>
      <c r="H9" s="7" t="n"/>
    </row>
    <row r="10">
      <c r="A10" s="7" t="n"/>
      <c r="B10" s="7" t="n"/>
      <c r="C10" s="7" t="n"/>
      <c r="D10" s="7" t="n"/>
      <c r="E10" s="8" t="n"/>
      <c r="F10" s="10" t="n"/>
      <c r="G10" s="10" t="n"/>
      <c r="H10" s="7" t="n"/>
    </row>
    <row r="11">
      <c r="A11" s="7" t="n"/>
      <c r="B11" s="7" t="n"/>
      <c r="C11" s="7" t="n"/>
      <c r="D11" s="7" t="n"/>
      <c r="E11" s="8" t="n"/>
      <c r="F11" s="10" t="n"/>
      <c r="G11" s="10" t="n"/>
      <c r="H11" s="7" t="n"/>
    </row>
    <row r="12">
      <c r="A12" s="7" t="n"/>
      <c r="B12" s="7" t="n"/>
      <c r="C12" s="7" t="n"/>
      <c r="D12" s="7" t="n"/>
      <c r="E12" s="8" t="n"/>
      <c r="F12" s="10" t="n"/>
      <c r="G12" s="10" t="n"/>
      <c r="H12" s="7" t="n"/>
    </row>
    <row r="13">
      <c r="A13" s="7" t="n"/>
      <c r="B13" s="7" t="n"/>
      <c r="C13" s="7" t="n"/>
      <c r="D13" s="7" t="n"/>
      <c r="E13" s="8" t="n"/>
      <c r="F13" s="10" t="n"/>
      <c r="G13" s="10" t="n"/>
      <c r="H13" s="7" t="n"/>
    </row>
    <row r="14">
      <c r="A14" s="7" t="n"/>
      <c r="B14" s="7" t="n"/>
      <c r="C14" s="7" t="n"/>
      <c r="D14" s="7" t="n"/>
      <c r="E14" s="8" t="n"/>
      <c r="F14" s="10" t="n"/>
      <c r="G14" s="10" t="n"/>
      <c r="H14" s="7" t="n"/>
    </row>
    <row r="15">
      <c r="A15" s="7" t="n"/>
      <c r="B15" s="7" t="n"/>
      <c r="C15" s="7" t="n"/>
      <c r="D15" s="7" t="n"/>
      <c r="E15" s="8" t="n"/>
      <c r="F15" s="10" t="n"/>
      <c r="G15" s="10" t="n"/>
      <c r="H15" s="7" t="n"/>
    </row>
    <row r="16">
      <c r="A16" s="7" t="n"/>
      <c r="B16" s="7" t="n"/>
      <c r="C16" s="7" t="n"/>
      <c r="D16" s="7" t="n"/>
      <c r="E16" s="8" t="n"/>
      <c r="F16" s="10" t="n"/>
      <c r="G16" s="10" t="n"/>
      <c r="H16" s="7" t="n"/>
    </row>
    <row r="17">
      <c r="A17" s="7" t="n"/>
      <c r="B17" s="7" t="n"/>
      <c r="C17" s="7" t="n"/>
      <c r="D17" s="7" t="n"/>
      <c r="E17" s="8" t="n"/>
      <c r="F17" s="10" t="n"/>
      <c r="G17" s="10" t="n"/>
      <c r="H17" s="7" t="n"/>
    </row>
    <row r="18">
      <c r="A18" s="7" t="n"/>
      <c r="B18" s="7" t="n"/>
      <c r="C18" s="7" t="n"/>
      <c r="D18" s="7" t="n"/>
      <c r="E18" s="8" t="n"/>
      <c r="F18" s="10" t="n"/>
      <c r="G18" s="10" t="n"/>
      <c r="H18" s="7" t="n"/>
    </row>
    <row r="19">
      <c r="A19" s="7" t="n"/>
      <c r="B19" s="7" t="n"/>
      <c r="C19" s="7" t="n"/>
      <c r="D19" s="7" t="n"/>
      <c r="E19" s="8" t="n"/>
      <c r="F19" s="10" t="n"/>
      <c r="G19" s="10" t="n"/>
      <c r="H19" s="7" t="n"/>
    </row>
    <row r="20">
      <c r="A20" s="7" t="n"/>
      <c r="B20" s="7" t="n"/>
      <c r="C20" s="7" t="n"/>
      <c r="D20" s="7" t="n"/>
      <c r="E20" s="8" t="n"/>
      <c r="F20" s="10" t="n"/>
      <c r="G20" s="10" t="n"/>
      <c r="H20" s="7" t="n"/>
    </row>
    <row r="21">
      <c r="A21" s="7" t="n"/>
      <c r="B21" s="7" t="n"/>
      <c r="C21" s="7" t="n"/>
      <c r="D21" s="7" t="n"/>
      <c r="E21" s="8" t="n"/>
      <c r="F21" s="10" t="n"/>
      <c r="G21" s="10" t="n"/>
      <c r="H21" s="7" t="n"/>
    </row>
    <row r="22">
      <c r="A22" s="7" t="n"/>
      <c r="B22" s="7" t="n"/>
      <c r="C22" s="7" t="n"/>
      <c r="D22" s="7" t="n"/>
      <c r="E22" s="8" t="n"/>
      <c r="F22" s="10" t="n"/>
      <c r="G22" s="10" t="n"/>
      <c r="H22" s="7" t="n"/>
    </row>
    <row r="23">
      <c r="A23" s="7" t="n"/>
      <c r="B23" s="7" t="n"/>
      <c r="C23" s="7" t="n"/>
      <c r="D23" s="7" t="n"/>
      <c r="E23" s="8" t="n"/>
      <c r="F23" s="10" t="n"/>
      <c r="G23" s="10" t="n"/>
      <c r="H23" s="7" t="n"/>
    </row>
    <row r="24">
      <c r="A24" s="7" t="n"/>
      <c r="B24" s="7" t="n"/>
      <c r="C24" s="7" t="n"/>
      <c r="D24" s="7" t="n"/>
      <c r="E24" s="8" t="n"/>
      <c r="F24" s="10" t="n"/>
      <c r="G24" s="10" t="n"/>
      <c r="H24" s="7" t="n"/>
    </row>
  </sheetData>
  <dataValidations count="2">
    <dataValidation sqref="H5:H24" showDropDown="0" showInputMessage="0" showErrorMessage="0" allowBlank="1" type="list">
      <formula1>"Active,Complete,On hold"</formula1>
    </dataValidation>
    <dataValidation sqref="E5:E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3" customWidth="1" min="3" max="3"/>
    <col width="13" customWidth="1" min="4" max="4"/>
    <col width="16" customWidth="1" min="5" max="5"/>
    <col width="18" customWidth="1" min="6" max="6"/>
    <col width="16" customWidth="1" min="7" max="7"/>
    <col width="12" customWidth="1" min="8" max="8"/>
    <col width="16" customWidth="1" min="9" max="9"/>
    <col width="14" customWidth="1" min="10" max="10"/>
  </cols>
  <sheetData>
    <row r="1">
      <c r="A1" s="1" t="inlineStr">
        <is>
          <t>Forecast Log — permanent monthly record</t>
        </is>
      </c>
    </row>
    <row r="2">
      <c r="A2" s="2" t="inlineStr">
        <is>
          <t>Append one row per engagement per month. Enter Matter Code, Month and Cumulative % Complete (blue). Everything else calculates. Never overwrite a past month — add a new row.</t>
        </is>
      </c>
    </row>
    <row r="4" ht="42" customHeight="1">
      <c r="A4" s="11" t="inlineStr">
        <is>
          <t>Matter Code</t>
        </is>
      </c>
      <c r="B4" s="11" t="inlineStr">
        <is>
          <t>Month</t>
        </is>
      </c>
      <c r="C4" s="11" t="inlineStr">
        <is>
          <t>Total Fee (£)</t>
        </is>
      </c>
      <c r="D4" s="11" t="inlineStr">
        <is>
          <t>Cum % Complete</t>
        </is>
      </c>
      <c r="E4" s="11" t="inlineStr">
        <is>
          <t>Forecast Cum Revenue (£)</t>
        </is>
      </c>
      <c r="F4" s="11" t="inlineStr">
        <is>
          <t>Forecast Recognised This Month (£)</t>
        </is>
      </c>
      <c r="G4" s="11" t="inlineStr">
        <is>
          <t>Actual NFI This Month (£)</t>
        </is>
      </c>
      <c r="H4" s="11" t="inlineStr">
        <is>
          <t>Variance (£)</t>
        </is>
      </c>
      <c r="I4" s="11" t="inlineStr">
        <is>
          <t>Cumulative Actual to Date (£)</t>
        </is>
      </c>
      <c r="J4" s="11" t="inlineStr">
        <is>
          <t>Remaining Fee (£)</t>
        </is>
      </c>
    </row>
    <row r="5">
      <c r="A5" s="6" t="inlineStr">
        <is>
          <t>M-1001</t>
        </is>
      </c>
      <c r="B5" s="12" t="n">
        <v>46266</v>
      </c>
      <c r="C5" s="13">
        <f>IF($A5="","",IFERROR(INDEX('Matters Register'!$E$5:$E$44,MATCH($A5,'Matters Register'!$A$5:$A$44,0)),"?"))</f>
        <v>120000</v>
      </c>
      <c r="D5" s="14" t="n">
        <v>0.1</v>
      </c>
      <c r="E5" s="15">
        <f>IF(OR($A5="",$D5=""),"",$D5*$C5)</f>
        <v>12000</v>
      </c>
      <c r="F5" s="15">
        <f>IF($E5="","",$E5-SUMIFS($E$5:$E$64,$A$5:$A$64,$A5,$B$5:$B$64,"="&amp;_xlfn.MAXIFS($B$5:$B$64,$A$5:$A$64,$A5,$B$5:$B$64,"&lt;"&amp;$B5)))</f>
        <v>12000</v>
      </c>
      <c r="G5" s="16">
        <f>IF($A5="","",IF(COUNTIFS('Month-End Provisions'!$A$5:$A$1004,$A5,'Month-End Provisions'!$B$5:$B$1004,$B5)=0,"",SUMIFS('Month-End Provisions'!$C$5:$C$1004,'Month-End Provisions'!$A$5:$A$1004,$A5,'Month-End Provisions'!$B$5:$B$1004,$B5)))</f>
        <v>12000</v>
      </c>
      <c r="H5" s="17">
        <f>IF(OR($G5="",$F5=""),"",$G5-$F5)</f>
        <v>0</v>
      </c>
      <c r="I5" s="16">
        <f>IF($A5="","",SUMIFS('Month-End Provisions'!$C$5:$C$1004,'Month-End Provisions'!$A$5:$A$1004,$A5,'Month-End Provisions'!$B$5:$B$1004,"&lt;="&amp;$B5))</f>
        <v>12000</v>
      </c>
      <c r="J5" s="15">
        <f>IF($A5="","",$C5-$I5)</f>
        <v>108000</v>
      </c>
    </row>
    <row r="6">
      <c r="A6" s="6" t="inlineStr">
        <is>
          <t>M-1001</t>
        </is>
      </c>
      <c r="B6" s="12" t="n">
        <v>46296</v>
      </c>
      <c r="C6" s="13">
        <f>IF($A6="","",IFERROR(INDEX('Matters Register'!$E$5:$E$44,MATCH($A6,'Matters Register'!$A$5:$A$44,0)),"?"))</f>
        <v>120000</v>
      </c>
      <c r="D6" s="14" t="n">
        <v>0.25</v>
      </c>
      <c r="E6" s="15">
        <f>IF(OR($A6="",$D6=""),"",$D6*$C6)</f>
        <v>30000</v>
      </c>
      <c r="F6" s="15">
        <f>IF($E6="","",$E6-SUMIFS($E$5:$E$64,$A$5:$A$64,$A6,$B$5:$B$64,"="&amp;_xlfn.MAXIFS($B$5:$B$64,$A$5:$A$64,$A6,$B$5:$B$64,"&lt;"&amp;$B6)))</f>
        <v>18000</v>
      </c>
      <c r="G6" s="16">
        <f>IF($A6="","",IF(COUNTIFS('Month-End Provisions'!$A$5:$A$1004,$A6,'Month-End Provisions'!$B$5:$B$1004,$B6)=0,"",SUMIFS('Month-End Provisions'!$C$5:$C$1004,'Month-End Provisions'!$A$5:$A$1004,$A6,'Month-End Provisions'!$B$5:$B$1004,$B6)))</f>
        <v>15000</v>
      </c>
      <c r="H6" s="17">
        <f>IF(OR($G6="",$F6=""),"",$G6-$F6)</f>
        <v>-3000</v>
      </c>
      <c r="I6" s="16">
        <f>IF($A6="","",SUMIFS('Month-End Provisions'!$C$5:$C$1004,'Month-End Provisions'!$A$5:$A$1004,$A6,'Month-End Provisions'!$B$5:$B$1004,"&lt;="&amp;$B6))</f>
        <v>27000</v>
      </c>
      <c r="J6" s="15">
        <f>IF($A6="","",$C6-$I6)</f>
        <v>93000</v>
      </c>
    </row>
    <row r="7">
      <c r="A7" s="6" t="inlineStr">
        <is>
          <t>M-1001</t>
        </is>
      </c>
      <c r="B7" s="12" t="n">
        <v>46327</v>
      </c>
      <c r="C7" s="13">
        <f>IF($A7="","",IFERROR(INDEX('Matters Register'!$E$5:$E$44,MATCH($A7,'Matters Register'!$A$5:$A$44,0)),"?"))</f>
        <v>120000</v>
      </c>
      <c r="D7" s="14" t="n">
        <v>0.45</v>
      </c>
      <c r="E7" s="15">
        <f>IF(OR($A7="",$D7=""),"",$D7*$C7)</f>
        <v>54000</v>
      </c>
      <c r="F7" s="15">
        <f>IF($E7="","",$E7-SUMIFS($E$5:$E$64,$A$5:$A$64,$A7,$B$5:$B$64,"="&amp;_xlfn.MAXIFS($B$5:$B$64,$A$5:$A$64,$A7,$B$5:$B$64,"&lt;"&amp;$B7)))</f>
        <v>24000</v>
      </c>
      <c r="G7" s="16">
        <f>IF($A7="","",IF(COUNTIFS('Month-End Provisions'!$A$5:$A$1004,$A7,'Month-End Provisions'!$B$5:$B$1004,$B7)=0,"",SUMIFS('Month-End Provisions'!$C$5:$C$1004,'Month-End Provisions'!$A$5:$A$1004,$A7,'Month-End Provisions'!$B$5:$B$1004,$B7)))</f>
        <v>26000</v>
      </c>
      <c r="H7" s="17">
        <f>IF(OR($G7="",$F7=""),"",$G7-$F7)</f>
        <v>2000</v>
      </c>
      <c r="I7" s="16">
        <f>IF($A7="","",SUMIFS('Month-End Provisions'!$C$5:$C$1004,'Month-End Provisions'!$A$5:$A$1004,$A7,'Month-End Provisions'!$B$5:$B$1004,"&lt;="&amp;$B7))</f>
        <v>53000</v>
      </c>
      <c r="J7" s="15">
        <f>IF($A7="","",$C7-$I7)</f>
        <v>67000</v>
      </c>
    </row>
    <row r="8">
      <c r="A8" s="6" t="inlineStr">
        <is>
          <t>M-1002</t>
        </is>
      </c>
      <c r="B8" s="12" t="n">
        <v>46296</v>
      </c>
      <c r="C8" s="13">
        <f>IF($A8="","",IFERROR(INDEX('Matters Register'!$E$5:$E$44,MATCH($A8,'Matters Register'!$A$5:$A$44,0)),"?"))</f>
        <v>90000</v>
      </c>
      <c r="D8" s="14" t="n">
        <v>0.15</v>
      </c>
      <c r="E8" s="15">
        <f>IF(OR($A8="",$D8=""),"",$D8*$C8)</f>
        <v>13500</v>
      </c>
      <c r="F8" s="15">
        <f>IF($E8="","",$E8-SUMIFS($E$5:$E$64,$A$5:$A$64,$A8,$B$5:$B$64,"="&amp;_xlfn.MAXIFS($B$5:$B$64,$A$5:$A$64,$A8,$B$5:$B$64,"&lt;"&amp;$B8)))</f>
        <v>13500</v>
      </c>
      <c r="G8" s="16">
        <f>IF($A8="","",IF(COUNTIFS('Month-End Provisions'!$A$5:$A$1004,$A8,'Month-End Provisions'!$B$5:$B$1004,$B8)=0,"",SUMIFS('Month-End Provisions'!$C$5:$C$1004,'Month-End Provisions'!$A$5:$A$1004,$A8,'Month-End Provisions'!$B$5:$B$1004,$B8)))</f>
        <v>13500</v>
      </c>
      <c r="H8" s="17">
        <f>IF(OR($G8="",$F8=""),"",$G8-$F8)</f>
        <v>0</v>
      </c>
      <c r="I8" s="16">
        <f>IF($A8="","",SUMIFS('Month-End Provisions'!$C$5:$C$1004,'Month-End Provisions'!$A$5:$A$1004,$A8,'Month-End Provisions'!$B$5:$B$1004,"&lt;="&amp;$B8))</f>
        <v>13500</v>
      </c>
      <c r="J8" s="15">
        <f>IF($A8="","",$C8-$I8)</f>
        <v>76500</v>
      </c>
    </row>
    <row r="9">
      <c r="A9" s="6" t="inlineStr">
        <is>
          <t>M-1002</t>
        </is>
      </c>
      <c r="B9" s="12" t="n">
        <v>46327</v>
      </c>
      <c r="C9" s="13">
        <f>IF($A9="","",IFERROR(INDEX('Matters Register'!$E$5:$E$44,MATCH($A9,'Matters Register'!$A$5:$A$44,0)),"?"))</f>
        <v>90000</v>
      </c>
      <c r="D9" s="14" t="n">
        <v>0.3</v>
      </c>
      <c r="E9" s="15">
        <f>IF(OR($A9="",$D9=""),"",$D9*$C9)</f>
        <v>27000</v>
      </c>
      <c r="F9" s="15">
        <f>IF($E9="","",$E9-SUMIFS($E$5:$E$64,$A$5:$A$64,$A9,$B$5:$B$64,"="&amp;_xlfn.MAXIFS($B$5:$B$64,$A$5:$A$64,$A9,$B$5:$B$64,"&lt;"&amp;$B9)))</f>
        <v>13500</v>
      </c>
      <c r="G9" s="16" t="str">
        <f>IF($A9="","",IF(COUNTIFS('Month-End Provisions'!$A$5:$A$1004,$A9,'Month-End Provisions'!$B$5:$B$1004,$B9)=0,"",SUMIFS('Month-End Provisions'!$C$5:$C$1004,'Month-End Provisions'!$A$5:$A$1004,$A9,'Month-End Provisions'!$B$5:$B$1004,$B9)))</f>
        <v/>
      </c>
      <c r="H9" s="17" t="str">
        <f>IF(OR($G9="",$F9=""),"",$G9-$F9)</f>
        <v/>
      </c>
      <c r="I9" s="16">
        <f>IF($A9="","",SUMIFS('Month-End Provisions'!$C$5:$C$1004,'Month-End Provisions'!$A$5:$A$1004,$A9,'Month-End Provisions'!$B$5:$B$1004,"&lt;="&amp;$B9))</f>
        <v>13500</v>
      </c>
      <c r="J9" s="15">
        <f>IF($A9="","",$C9-$I9)</f>
        <v>76500</v>
      </c>
    </row>
    <row r="10">
      <c r="A10" s="6" t="inlineStr">
        <is>
          <t>M-1003</t>
        </is>
      </c>
      <c r="B10" s="12" t="n">
        <v>46266</v>
      </c>
      <c r="C10" s="13">
        <f>IF($A10="","",IFERROR(INDEX('Matters Register'!$E$5:$E$44,MATCH($A10,'Matters Register'!$A$5:$A$44,0)),"?"))</f>
        <v>60000</v>
      </c>
      <c r="D10" s="14" t="n">
        <v>0.2</v>
      </c>
      <c r="E10" s="15">
        <f>IF(OR($A10="",$D10=""),"",$D10*$C10)</f>
        <v>12000</v>
      </c>
      <c r="F10" s="15">
        <f>IF($E10="","",$E10-SUMIFS($E$5:$E$64,$A$5:$A$64,$A10,$B$5:$B$64,"="&amp;_xlfn.MAXIFS($B$5:$B$64,$A$5:$A$64,$A10,$B$5:$B$64,"&lt;"&amp;$B10)))</f>
        <v>12000</v>
      </c>
      <c r="G10" s="16">
        <f>IF($A10="","",IF(COUNTIFS('Month-End Provisions'!$A$5:$A$1004,$A10,'Month-End Provisions'!$B$5:$B$1004,$B10)=0,"",SUMIFS('Month-End Provisions'!$C$5:$C$1004,'Month-End Provisions'!$A$5:$A$1004,$A10,'Month-End Provisions'!$B$5:$B$1004,$B10)))</f>
        <v>12000</v>
      </c>
      <c r="H10" s="17">
        <f>IF(OR($G10="",$F10=""),"",$G10-$F10)</f>
        <v>0</v>
      </c>
      <c r="I10" s="16">
        <f>IF($A10="","",SUMIFS('Month-End Provisions'!$C$5:$C$1004,'Month-End Provisions'!$A$5:$A$1004,$A10,'Month-End Provisions'!$B$5:$B$1004,"&lt;="&amp;$B10))</f>
        <v>12000</v>
      </c>
      <c r="J10" s="15">
        <f>IF($A10="","",$C10-$I10)</f>
        <v>48000</v>
      </c>
    </row>
    <row r="11">
      <c r="A11" s="6" t="inlineStr">
        <is>
          <t>M-1003</t>
        </is>
      </c>
      <c r="B11" s="12" t="n">
        <v>46296</v>
      </c>
      <c r="C11" s="13">
        <f>IF($A11="","",IFERROR(INDEX('Matters Register'!$E$5:$E$44,MATCH($A11,'Matters Register'!$A$5:$A$44,0)),"?"))</f>
        <v>60000</v>
      </c>
      <c r="D11" s="14" t="n">
        <v>0.4</v>
      </c>
      <c r="E11" s="15">
        <f>IF(OR($A11="",$D11=""),"",$D11*$C11)</f>
        <v>24000</v>
      </c>
      <c r="F11" s="15">
        <f>IF($E11="","",$E11-SUMIFS($E$5:$E$64,$A$5:$A$64,$A11,$B$5:$B$64,"="&amp;_xlfn.MAXIFS($B$5:$B$64,$A$5:$A$64,$A11,$B$5:$B$64,"&lt;"&amp;$B11)))</f>
        <v>12000</v>
      </c>
      <c r="G11" s="16">
        <f>IF($A11="","",IF(COUNTIFS('Month-End Provisions'!$A$5:$A$1004,$A11,'Month-End Provisions'!$B$5:$B$1004,$B11)=0,"",SUMIFS('Month-End Provisions'!$C$5:$C$1004,'Month-End Provisions'!$A$5:$A$1004,$A11,'Month-End Provisions'!$B$5:$B$1004,$B11)))</f>
        <v>11000</v>
      </c>
      <c r="H11" s="17">
        <f>IF(OR($G11="",$F11=""),"",$G11-$F11)</f>
        <v>-1000</v>
      </c>
      <c r="I11" s="16">
        <f>IF($A11="","",SUMIFS('Month-End Provisions'!$C$5:$C$1004,'Month-End Provisions'!$A$5:$A$1004,$A11,'Month-End Provisions'!$B$5:$B$1004,"&lt;="&amp;$B11))</f>
        <v>23000</v>
      </c>
      <c r="J11" s="15">
        <f>IF($A11="","",$C11-$I11)</f>
        <v>37000</v>
      </c>
    </row>
    <row r="12">
      <c r="A12" s="6" t="inlineStr">
        <is>
          <t>M-1003</t>
        </is>
      </c>
      <c r="B12" s="12" t="n">
        <v>46327</v>
      </c>
      <c r="C12" s="13">
        <f>IF($A12="","",IFERROR(INDEX('Matters Register'!$E$5:$E$44,MATCH($A12,'Matters Register'!$A$5:$A$44,0)),"?"))</f>
        <v>60000</v>
      </c>
      <c r="D12" s="14" t="n">
        <v>0.65</v>
      </c>
      <c r="E12" s="15">
        <f>IF(OR($A12="",$D12=""),"",$D12*$C12)</f>
        <v>39000</v>
      </c>
      <c r="F12" s="15">
        <f>IF($E12="","",$E12-SUMIFS($E$5:$E$64,$A$5:$A$64,$A12,$B$5:$B$64,"="&amp;_xlfn.MAXIFS($B$5:$B$64,$A$5:$A$64,$A12,$B$5:$B$64,"&lt;"&amp;$B12)))</f>
        <v>15000</v>
      </c>
      <c r="G12" s="16" t="str">
        <f>IF($A12="","",IF(COUNTIFS('Month-End Provisions'!$A$5:$A$1004,$A12,'Month-End Provisions'!$B$5:$B$1004,$B12)=0,"",SUMIFS('Month-End Provisions'!$C$5:$C$1004,'Month-End Provisions'!$A$5:$A$1004,$A12,'Month-End Provisions'!$B$5:$B$1004,$B12)))</f>
        <v/>
      </c>
      <c r="H12" s="17" t="str">
        <f>IF(OR($G12="",$F12=""),"",$G12-$F12)</f>
        <v/>
      </c>
      <c r="I12" s="16">
        <f>IF($A12="","",SUMIFS('Month-End Provisions'!$C$5:$C$1004,'Month-End Provisions'!$A$5:$A$1004,$A12,'Month-End Provisions'!$B$5:$B$1004,"&lt;="&amp;$B12))</f>
        <v>23000</v>
      </c>
      <c r="J12" s="15">
        <f>IF($A12="","",$C12-$I12)</f>
        <v>37000</v>
      </c>
    </row>
    <row r="13">
      <c r="A13" s="6" t="n"/>
      <c r="B13" s="12" t="n"/>
      <c r="C13" s="13" t="str">
        <f>IF($A13="","",IFERROR(INDEX('Matters Register'!$E$5:$E$44,MATCH($A13,'Matters Register'!$A$5:$A$44,0)),"?"))</f>
        <v/>
      </c>
      <c r="D13" s="14" t="n"/>
      <c r="E13" s="15" t="str">
        <f>IF(OR($A13="",$D13=""),"",$D13*$C13)</f>
        <v/>
      </c>
      <c r="F13" s="15" t="str">
        <f>IF($E13="","",$E13-SUMIFS($E$5:$E$64,$A$5:$A$64,$A13,$B$5:$B$64,"="&amp;_xlfn.MAXIFS($B$5:$B$64,$A$5:$A$64,$A13,$B$5:$B$64,"&lt;"&amp;$B13)))</f>
        <v/>
      </c>
      <c r="G13" s="16" t="str">
        <f>IF($A13="","",IF(COUNTIFS('Month-End Provisions'!$A$5:$A$1004,$A13,'Month-End Provisions'!$B$5:$B$1004,$B13)=0,"",SUMIFS('Month-End Provisions'!$C$5:$C$1004,'Month-End Provisions'!$A$5:$A$1004,$A13,'Month-End Provisions'!$B$5:$B$1004,$B13)))</f>
        <v/>
      </c>
      <c r="H13" s="17" t="str">
        <f>IF(OR($G13="",$F13=""),"",$G13-$F13)</f>
        <v/>
      </c>
      <c r="I13" s="16" t="str">
        <f>IF($A13="","",SUMIFS('Month-End Provisions'!$C$5:$C$1004,'Month-End Provisions'!$A$5:$A$1004,$A13,'Month-End Provisions'!$B$5:$B$1004,"&lt;="&amp;$B13))</f>
        <v/>
      </c>
      <c r="J13" s="15" t="str">
        <f>IF($A13="","",$C13-$I13)</f>
        <v/>
      </c>
    </row>
    <row r="14">
      <c r="A14" s="6" t="n"/>
      <c r="B14" s="12" t="n"/>
      <c r="C14" s="13" t="str">
        <f>IF($A14="","",IFERROR(INDEX('Matters Register'!$E$5:$E$44,MATCH($A14,'Matters Register'!$A$5:$A$44,0)),"?"))</f>
        <v/>
      </c>
      <c r="D14" s="14" t="n"/>
      <c r="E14" s="15" t="str">
        <f>IF(OR($A14="",$D14=""),"",$D14*$C14)</f>
        <v/>
      </c>
      <c r="F14" s="15" t="str">
        <f>IF($E14="","",$E14-SUMIFS($E$5:$E$64,$A$5:$A$64,$A14,$B$5:$B$64,"="&amp;_xlfn.MAXIFS($B$5:$B$64,$A$5:$A$64,$A14,$B$5:$B$64,"&lt;"&amp;$B14)))</f>
        <v/>
      </c>
      <c r="G14" s="16" t="str">
        <f>IF($A14="","",IF(COUNTIFS('Month-End Provisions'!$A$5:$A$1004,$A14,'Month-End Provisions'!$B$5:$B$1004,$B14)=0,"",SUMIFS('Month-End Provisions'!$C$5:$C$1004,'Month-End Provisions'!$A$5:$A$1004,$A14,'Month-End Provisions'!$B$5:$B$1004,$B14)))</f>
        <v/>
      </c>
      <c r="H14" s="17" t="str">
        <f>IF(OR($G14="",$F14=""),"",$G14-$F14)</f>
        <v/>
      </c>
      <c r="I14" s="16" t="str">
        <f>IF($A14="","",SUMIFS('Month-End Provisions'!$C$5:$C$1004,'Month-End Provisions'!$A$5:$A$1004,$A14,'Month-End Provisions'!$B$5:$B$1004,"&lt;="&amp;$B14))</f>
        <v/>
      </c>
      <c r="J14" s="15" t="str">
        <f>IF($A14="","",$C14-$I14)</f>
        <v/>
      </c>
    </row>
    <row r="15">
      <c r="A15" s="6" t="n"/>
      <c r="B15" s="12" t="n"/>
      <c r="C15" s="13" t="str">
        <f>IF($A15="","",IFERROR(INDEX('Matters Register'!$E$5:$E$44,MATCH($A15,'Matters Register'!$A$5:$A$44,0)),"?"))</f>
        <v/>
      </c>
      <c r="D15" s="14" t="n"/>
      <c r="E15" s="15" t="str">
        <f>IF(OR($A15="",$D15=""),"",$D15*$C15)</f>
        <v/>
      </c>
      <c r="F15" s="15" t="str">
        <f>IF($E15="","",$E15-SUMIFS($E$5:$E$64,$A$5:$A$64,$A15,$B$5:$B$64,"="&amp;_xlfn.MAXIFS($B$5:$B$64,$A$5:$A$64,$A15,$B$5:$B$64,"&lt;"&amp;$B15)))</f>
        <v/>
      </c>
      <c r="G15" s="16" t="str">
        <f>IF($A15="","",IF(COUNTIFS('Month-End Provisions'!$A$5:$A$1004,$A15,'Month-End Provisions'!$B$5:$B$1004,$B15)=0,"",SUMIFS('Month-End Provisions'!$C$5:$C$1004,'Month-End Provisions'!$A$5:$A$1004,$A15,'Month-End Provisions'!$B$5:$B$1004,$B15)))</f>
        <v/>
      </c>
      <c r="H15" s="17" t="str">
        <f>IF(OR($G15="",$F15=""),"",$G15-$F15)</f>
        <v/>
      </c>
      <c r="I15" s="16" t="str">
        <f>IF($A15="","",SUMIFS('Month-End Provisions'!$C$5:$C$1004,'Month-End Provisions'!$A$5:$A$1004,$A15,'Month-End Provisions'!$B$5:$B$1004,"&lt;="&amp;$B15))</f>
        <v/>
      </c>
      <c r="J15" s="15" t="str">
        <f>IF($A15="","",$C15-$I15)</f>
        <v/>
      </c>
    </row>
    <row r="16">
      <c r="A16" s="6" t="n"/>
      <c r="B16" s="12" t="n"/>
      <c r="C16" s="13" t="str">
        <f>IF($A16="","",IFERROR(INDEX('Matters Register'!$E$5:$E$44,MATCH($A16,'Matters Register'!$A$5:$A$44,0)),"?"))</f>
        <v/>
      </c>
      <c r="D16" s="14" t="n"/>
      <c r="E16" s="15" t="str">
        <f>IF(OR($A16="",$D16=""),"",$D16*$C16)</f>
        <v/>
      </c>
      <c r="F16" s="15" t="str">
        <f>IF($E16="","",$E16-SUMIFS($E$5:$E$64,$A$5:$A$64,$A16,$B$5:$B$64,"="&amp;_xlfn.MAXIFS($B$5:$B$64,$A$5:$A$64,$A16,$B$5:$B$64,"&lt;"&amp;$B16)))</f>
        <v/>
      </c>
      <c r="G16" s="16" t="str">
        <f>IF($A16="","",IF(COUNTIFS('Month-End Provisions'!$A$5:$A$1004,$A16,'Month-End Provisions'!$B$5:$B$1004,$B16)=0,"",SUMIFS('Month-End Provisions'!$C$5:$C$1004,'Month-End Provisions'!$A$5:$A$1004,$A16,'Month-End Provisions'!$B$5:$B$1004,$B16)))</f>
        <v/>
      </c>
      <c r="H16" s="17" t="str">
        <f>IF(OR($G16="",$F16=""),"",$G16-$F16)</f>
        <v/>
      </c>
      <c r="I16" s="16" t="str">
        <f>IF($A16="","",SUMIFS('Month-End Provisions'!$C$5:$C$1004,'Month-End Provisions'!$A$5:$A$1004,$A16,'Month-End Provisions'!$B$5:$B$1004,"&lt;="&amp;$B16))</f>
        <v/>
      </c>
      <c r="J16" s="15" t="str">
        <f>IF($A16="","",$C16-$I16)</f>
        <v/>
      </c>
    </row>
    <row r="17">
      <c r="A17" s="6" t="n"/>
      <c r="B17" s="12" t="n"/>
      <c r="C17" s="13" t="str">
        <f>IF($A17="","",IFERROR(INDEX('Matters Register'!$E$5:$E$44,MATCH($A17,'Matters Register'!$A$5:$A$44,0)),"?"))</f>
        <v/>
      </c>
      <c r="D17" s="14" t="n"/>
      <c r="E17" s="15" t="str">
        <f>IF(OR($A17="",$D17=""),"",$D17*$C17)</f>
        <v/>
      </c>
      <c r="F17" s="15" t="str">
        <f>IF($E17="","",$E17-SUMIFS($E$5:$E$64,$A$5:$A$64,$A17,$B$5:$B$64,"="&amp;_xlfn.MAXIFS($B$5:$B$64,$A$5:$A$64,$A17,$B$5:$B$64,"&lt;"&amp;$B17)))</f>
        <v/>
      </c>
      <c r="G17" s="16" t="str">
        <f>IF($A17="","",IF(COUNTIFS('Month-End Provisions'!$A$5:$A$1004,$A17,'Month-End Provisions'!$B$5:$B$1004,$B17)=0,"",SUMIFS('Month-End Provisions'!$C$5:$C$1004,'Month-End Provisions'!$A$5:$A$1004,$A17,'Month-End Provisions'!$B$5:$B$1004,$B17)))</f>
        <v/>
      </c>
      <c r="H17" s="17" t="str">
        <f>IF(OR($G17="",$F17=""),"",$G17-$F17)</f>
        <v/>
      </c>
      <c r="I17" s="16" t="str">
        <f>IF($A17="","",SUMIFS('Month-End Provisions'!$C$5:$C$1004,'Month-End Provisions'!$A$5:$A$1004,$A17,'Month-End Provisions'!$B$5:$B$1004,"&lt;="&amp;$B17))</f>
        <v/>
      </c>
      <c r="J17" s="15" t="str">
        <f>IF($A17="","",$C17-$I17)</f>
        <v/>
      </c>
    </row>
    <row r="18">
      <c r="A18" s="6" t="n"/>
      <c r="B18" s="12" t="n"/>
      <c r="C18" s="13" t="str">
        <f>IF($A18="","",IFERROR(INDEX('Matters Register'!$E$5:$E$44,MATCH($A18,'Matters Register'!$A$5:$A$44,0)),"?"))</f>
        <v/>
      </c>
      <c r="D18" s="14" t="n"/>
      <c r="E18" s="15" t="str">
        <f>IF(OR($A18="",$D18=""),"",$D18*$C18)</f>
        <v/>
      </c>
      <c r="F18" s="15" t="str">
        <f>IF($E18="","",$E18-SUMIFS($E$5:$E$64,$A$5:$A$64,$A18,$B$5:$B$64,"="&amp;_xlfn.MAXIFS($B$5:$B$64,$A$5:$A$64,$A18,$B$5:$B$64,"&lt;"&amp;$B18)))</f>
        <v/>
      </c>
      <c r="G18" s="16" t="str">
        <f>IF($A18="","",IF(COUNTIFS('Month-End Provisions'!$A$5:$A$1004,$A18,'Month-End Provisions'!$B$5:$B$1004,$B18)=0,"",SUMIFS('Month-End Provisions'!$C$5:$C$1004,'Month-End Provisions'!$A$5:$A$1004,$A18,'Month-End Provisions'!$B$5:$B$1004,$B18)))</f>
        <v/>
      </c>
      <c r="H18" s="17" t="str">
        <f>IF(OR($G18="",$F18=""),"",$G18-$F18)</f>
        <v/>
      </c>
      <c r="I18" s="16" t="str">
        <f>IF($A18="","",SUMIFS('Month-End Provisions'!$C$5:$C$1004,'Month-End Provisions'!$A$5:$A$1004,$A18,'Month-End Provisions'!$B$5:$B$1004,"&lt;="&amp;$B18))</f>
        <v/>
      </c>
      <c r="J18" s="15" t="str">
        <f>IF($A18="","",$C18-$I18)</f>
        <v/>
      </c>
    </row>
    <row r="19">
      <c r="A19" s="6" t="n"/>
      <c r="B19" s="12" t="n"/>
      <c r="C19" s="13" t="str">
        <f>IF($A19="","",IFERROR(INDEX('Matters Register'!$E$5:$E$44,MATCH($A19,'Matters Register'!$A$5:$A$44,0)),"?"))</f>
        <v/>
      </c>
      <c r="D19" s="14" t="n"/>
      <c r="E19" s="15" t="str">
        <f>IF(OR($A19="",$D19=""),"",$D19*$C19)</f>
        <v/>
      </c>
      <c r="F19" s="15" t="str">
        <f>IF($E19="","",$E19-SUMIFS($E$5:$E$64,$A$5:$A$64,$A19,$B$5:$B$64,"="&amp;_xlfn.MAXIFS($B$5:$B$64,$A$5:$A$64,$A19,$B$5:$B$64,"&lt;"&amp;$B19)))</f>
        <v/>
      </c>
      <c r="G19" s="16" t="str">
        <f>IF($A19="","",IF(COUNTIFS('Month-End Provisions'!$A$5:$A$1004,$A19,'Month-End Provisions'!$B$5:$B$1004,$B19)=0,"",SUMIFS('Month-End Provisions'!$C$5:$C$1004,'Month-End Provisions'!$A$5:$A$1004,$A19,'Month-End Provisions'!$B$5:$B$1004,$B19)))</f>
        <v/>
      </c>
      <c r="H19" s="17" t="str">
        <f>IF(OR($G19="",$F19=""),"",$G19-$F19)</f>
        <v/>
      </c>
      <c r="I19" s="16" t="str">
        <f>IF($A19="","",SUMIFS('Month-End Provisions'!$C$5:$C$1004,'Month-End Provisions'!$A$5:$A$1004,$A19,'Month-End Provisions'!$B$5:$B$1004,"&lt;="&amp;$B19))</f>
        <v/>
      </c>
      <c r="J19" s="15" t="str">
        <f>IF($A19="","",$C19-$I19)</f>
        <v/>
      </c>
    </row>
    <row r="20">
      <c r="A20" s="6" t="n"/>
      <c r="B20" s="12" t="n"/>
      <c r="C20" s="13" t="str">
        <f>IF($A20="","",IFERROR(INDEX('Matters Register'!$E$5:$E$44,MATCH($A20,'Matters Register'!$A$5:$A$44,0)),"?"))</f>
        <v/>
      </c>
      <c r="D20" s="14" t="n"/>
      <c r="E20" s="15" t="str">
        <f>IF(OR($A20="",$D20=""),"",$D20*$C20)</f>
        <v/>
      </c>
      <c r="F20" s="15" t="str">
        <f>IF($E20="","",$E20-SUMIFS($E$5:$E$64,$A$5:$A$64,$A20,$B$5:$B$64,"="&amp;_xlfn.MAXIFS($B$5:$B$64,$A$5:$A$64,$A20,$B$5:$B$64,"&lt;"&amp;$B20)))</f>
        <v/>
      </c>
      <c r="G20" s="16" t="str">
        <f>IF($A20="","",IF(COUNTIFS('Month-End Provisions'!$A$5:$A$1004,$A20,'Month-End Provisions'!$B$5:$B$1004,$B20)=0,"",SUMIFS('Month-End Provisions'!$C$5:$C$1004,'Month-End Provisions'!$A$5:$A$1004,$A20,'Month-End Provisions'!$B$5:$B$1004,$B20)))</f>
        <v/>
      </c>
      <c r="H20" s="17" t="str">
        <f>IF(OR($G20="",$F20=""),"",$G20-$F20)</f>
        <v/>
      </c>
      <c r="I20" s="16" t="str">
        <f>IF($A20="","",SUMIFS('Month-End Provisions'!$C$5:$C$1004,'Month-End Provisions'!$A$5:$A$1004,$A20,'Month-End Provisions'!$B$5:$B$1004,"&lt;="&amp;$B20))</f>
        <v/>
      </c>
      <c r="J20" s="15" t="str">
        <f>IF($A20="","",$C20-$I20)</f>
        <v/>
      </c>
    </row>
    <row r="21">
      <c r="A21" s="6" t="n"/>
      <c r="B21" s="12" t="n"/>
      <c r="C21" s="13" t="str">
        <f>IF($A21="","",IFERROR(INDEX('Matters Register'!$E$5:$E$44,MATCH($A21,'Matters Register'!$A$5:$A$44,0)),"?"))</f>
        <v/>
      </c>
      <c r="D21" s="14" t="n"/>
      <c r="E21" s="15" t="str">
        <f>IF(OR($A21="",$D21=""),"",$D21*$C21)</f>
        <v/>
      </c>
      <c r="F21" s="15" t="str">
        <f>IF($E21="","",$E21-SUMIFS($E$5:$E$64,$A$5:$A$64,$A21,$B$5:$B$64,"="&amp;_xlfn.MAXIFS($B$5:$B$64,$A$5:$A$64,$A21,$B$5:$B$64,"&lt;"&amp;$B21)))</f>
        <v/>
      </c>
      <c r="G21" s="16" t="str">
        <f>IF($A21="","",IF(COUNTIFS('Month-End Provisions'!$A$5:$A$1004,$A21,'Month-End Provisions'!$B$5:$B$1004,$B21)=0,"",SUMIFS('Month-End Provisions'!$C$5:$C$1004,'Month-End Provisions'!$A$5:$A$1004,$A21,'Month-End Provisions'!$B$5:$B$1004,$B21)))</f>
        <v/>
      </c>
      <c r="H21" s="17" t="str">
        <f>IF(OR($G21="",$F21=""),"",$G21-$F21)</f>
        <v/>
      </c>
      <c r="I21" s="16" t="str">
        <f>IF($A21="","",SUMIFS('Month-End Provisions'!$C$5:$C$1004,'Month-End Provisions'!$A$5:$A$1004,$A21,'Month-End Provisions'!$B$5:$B$1004,"&lt;="&amp;$B21))</f>
        <v/>
      </c>
      <c r="J21" s="15" t="str">
        <f>IF($A21="","",$C21-$I21)</f>
        <v/>
      </c>
    </row>
    <row r="22">
      <c r="A22" s="6" t="n"/>
      <c r="B22" s="12" t="n"/>
      <c r="C22" s="13" t="str">
        <f>IF($A22="","",IFERROR(INDEX('Matters Register'!$E$5:$E$44,MATCH($A22,'Matters Register'!$A$5:$A$44,0)),"?"))</f>
        <v/>
      </c>
      <c r="D22" s="14" t="n"/>
      <c r="E22" s="15" t="str">
        <f>IF(OR($A22="",$D22=""),"",$D22*$C22)</f>
        <v/>
      </c>
      <c r="F22" s="15" t="str">
        <f>IF($E22="","",$E22-SUMIFS($E$5:$E$64,$A$5:$A$64,$A22,$B$5:$B$64,"="&amp;_xlfn.MAXIFS($B$5:$B$64,$A$5:$A$64,$A22,$B$5:$B$64,"&lt;"&amp;$B22)))</f>
        <v/>
      </c>
      <c r="G22" s="16" t="str">
        <f>IF($A22="","",IF(COUNTIFS('Month-End Provisions'!$A$5:$A$1004,$A22,'Month-End Provisions'!$B$5:$B$1004,$B22)=0,"",SUMIFS('Month-End Provisions'!$C$5:$C$1004,'Month-End Provisions'!$A$5:$A$1004,$A22,'Month-End Provisions'!$B$5:$B$1004,$B22)))</f>
        <v/>
      </c>
      <c r="H22" s="17" t="str">
        <f>IF(OR($G22="",$F22=""),"",$G22-$F22)</f>
        <v/>
      </c>
      <c r="I22" s="16" t="str">
        <f>IF($A22="","",SUMIFS('Month-End Provisions'!$C$5:$C$1004,'Month-End Provisions'!$A$5:$A$1004,$A22,'Month-End Provisions'!$B$5:$B$1004,"&lt;="&amp;$B22))</f>
        <v/>
      </c>
      <c r="J22" s="15" t="str">
        <f>IF($A22="","",$C22-$I22)</f>
        <v/>
      </c>
    </row>
    <row r="23">
      <c r="A23" s="6" t="n"/>
      <c r="B23" s="12" t="n"/>
      <c r="C23" s="13" t="str">
        <f>IF($A23="","",IFERROR(INDEX('Matters Register'!$E$5:$E$44,MATCH($A23,'Matters Register'!$A$5:$A$44,0)),"?"))</f>
        <v/>
      </c>
      <c r="D23" s="14" t="n"/>
      <c r="E23" s="15" t="str">
        <f>IF(OR($A23="",$D23=""),"",$D23*$C23)</f>
        <v/>
      </c>
      <c r="F23" s="15" t="str">
        <f>IF($E23="","",$E23-SUMIFS($E$5:$E$64,$A$5:$A$64,$A23,$B$5:$B$64,"="&amp;_xlfn.MAXIFS($B$5:$B$64,$A$5:$A$64,$A23,$B$5:$B$64,"&lt;"&amp;$B23)))</f>
        <v/>
      </c>
      <c r="G23" s="16" t="str">
        <f>IF($A23="","",IF(COUNTIFS('Month-End Provisions'!$A$5:$A$1004,$A23,'Month-End Provisions'!$B$5:$B$1004,$B23)=0,"",SUMIFS('Month-End Provisions'!$C$5:$C$1004,'Month-End Provisions'!$A$5:$A$1004,$A23,'Month-End Provisions'!$B$5:$B$1004,$B23)))</f>
        <v/>
      </c>
      <c r="H23" s="17" t="str">
        <f>IF(OR($G23="",$F23=""),"",$G23-$F23)</f>
        <v/>
      </c>
      <c r="I23" s="16" t="str">
        <f>IF($A23="","",SUMIFS('Month-End Provisions'!$C$5:$C$1004,'Month-End Provisions'!$A$5:$A$1004,$A23,'Month-End Provisions'!$B$5:$B$1004,"&lt;="&amp;$B23))</f>
        <v/>
      </c>
      <c r="J23" s="15" t="str">
        <f>IF($A23="","",$C23-$I23)</f>
        <v/>
      </c>
    </row>
    <row r="24">
      <c r="A24" s="6" t="n"/>
      <c r="B24" s="12" t="n"/>
      <c r="C24" s="13" t="str">
        <f>IF($A24="","",IFERROR(INDEX('Matters Register'!$E$5:$E$44,MATCH($A24,'Matters Register'!$A$5:$A$44,0)),"?"))</f>
        <v/>
      </c>
      <c r="D24" s="14" t="n"/>
      <c r="E24" s="15" t="str">
        <f>IF(OR($A24="",$D24=""),"",$D24*$C24)</f>
        <v/>
      </c>
      <c r="F24" s="15" t="str">
        <f>IF($E24="","",$E24-SUMIFS($E$5:$E$64,$A$5:$A$64,$A24,$B$5:$B$64,"="&amp;_xlfn.MAXIFS($B$5:$B$64,$A$5:$A$64,$A24,$B$5:$B$64,"&lt;"&amp;$B24)))</f>
        <v/>
      </c>
      <c r="G24" s="16" t="str">
        <f>IF($A24="","",IF(COUNTIFS('Month-End Provisions'!$A$5:$A$1004,$A24,'Month-End Provisions'!$B$5:$B$1004,$B24)=0,"",SUMIFS('Month-End Provisions'!$C$5:$C$1004,'Month-End Provisions'!$A$5:$A$1004,$A24,'Month-End Provisions'!$B$5:$B$1004,$B24)))</f>
        <v/>
      </c>
      <c r="H24" s="17" t="str">
        <f>IF(OR($G24="",$F24=""),"",$G24-$F24)</f>
        <v/>
      </c>
      <c r="I24" s="16" t="str">
        <f>IF($A24="","",SUMIFS('Month-End Provisions'!$C$5:$C$1004,'Month-End Provisions'!$A$5:$A$1004,$A24,'Month-End Provisions'!$B$5:$B$1004,"&lt;="&amp;$B24))</f>
        <v/>
      </c>
      <c r="J24" s="15" t="str">
        <f>IF($A24="","",$C24-$I24)</f>
        <v/>
      </c>
    </row>
    <row r="25">
      <c r="A25" s="6" t="n"/>
      <c r="B25" s="12" t="n"/>
      <c r="C25" s="13" t="str">
        <f>IF($A25="","",IFERROR(INDEX('Matters Register'!$E$5:$E$44,MATCH($A25,'Matters Register'!$A$5:$A$44,0)),"?"))</f>
        <v/>
      </c>
      <c r="D25" s="14" t="n"/>
      <c r="E25" s="15" t="str">
        <f>IF(OR($A25="",$D25=""),"",$D25*$C25)</f>
        <v/>
      </c>
      <c r="F25" s="15" t="str">
        <f>IF($E25="","",$E25-SUMIFS($E$5:$E$64,$A$5:$A$64,$A25,$B$5:$B$64,"="&amp;_xlfn.MAXIFS($B$5:$B$64,$A$5:$A$64,$A25,$B$5:$B$64,"&lt;"&amp;$B25)))</f>
        <v/>
      </c>
      <c r="G25" s="16" t="str">
        <f>IF($A25="","",IF(COUNTIFS('Month-End Provisions'!$A$5:$A$1004,$A25,'Month-End Provisions'!$B$5:$B$1004,$B25)=0,"",SUMIFS('Month-End Provisions'!$C$5:$C$1004,'Month-End Provisions'!$A$5:$A$1004,$A25,'Month-End Provisions'!$B$5:$B$1004,$B25)))</f>
        <v/>
      </c>
      <c r="H25" s="17" t="str">
        <f>IF(OR($G25="",$F25=""),"",$G25-$F25)</f>
        <v/>
      </c>
      <c r="I25" s="16" t="str">
        <f>IF($A25="","",SUMIFS('Month-End Provisions'!$C$5:$C$1004,'Month-End Provisions'!$A$5:$A$1004,$A25,'Month-End Provisions'!$B$5:$B$1004,"&lt;="&amp;$B25))</f>
        <v/>
      </c>
      <c r="J25" s="15" t="str">
        <f>IF($A25="","",$C25-$I25)</f>
        <v/>
      </c>
    </row>
    <row r="26">
      <c r="A26" s="6" t="n"/>
      <c r="B26" s="12" t="n"/>
      <c r="C26" s="13" t="str">
        <f>IF($A26="","",IFERROR(INDEX('Matters Register'!$E$5:$E$44,MATCH($A26,'Matters Register'!$A$5:$A$44,0)),"?"))</f>
        <v/>
      </c>
      <c r="D26" s="14" t="n"/>
      <c r="E26" s="15" t="str">
        <f>IF(OR($A26="",$D26=""),"",$D26*$C26)</f>
        <v/>
      </c>
      <c r="F26" s="15" t="str">
        <f>IF($E26="","",$E26-SUMIFS($E$5:$E$64,$A$5:$A$64,$A26,$B$5:$B$64,"="&amp;_xlfn.MAXIFS($B$5:$B$64,$A$5:$A$64,$A26,$B$5:$B$64,"&lt;"&amp;$B26)))</f>
        <v/>
      </c>
      <c r="G26" s="16" t="str">
        <f>IF($A26="","",IF(COUNTIFS('Month-End Provisions'!$A$5:$A$1004,$A26,'Month-End Provisions'!$B$5:$B$1004,$B26)=0,"",SUMIFS('Month-End Provisions'!$C$5:$C$1004,'Month-End Provisions'!$A$5:$A$1004,$A26,'Month-End Provisions'!$B$5:$B$1004,$B26)))</f>
        <v/>
      </c>
      <c r="H26" s="17" t="str">
        <f>IF(OR($G26="",$F26=""),"",$G26-$F26)</f>
        <v/>
      </c>
      <c r="I26" s="16" t="str">
        <f>IF($A26="","",SUMIFS('Month-End Provisions'!$C$5:$C$1004,'Month-End Provisions'!$A$5:$A$1004,$A26,'Month-End Provisions'!$B$5:$B$1004,"&lt;="&amp;$B26))</f>
        <v/>
      </c>
      <c r="J26" s="15" t="str">
        <f>IF($A26="","",$C26-$I26)</f>
        <v/>
      </c>
    </row>
    <row r="27">
      <c r="A27" s="6" t="n"/>
      <c r="B27" s="12" t="n"/>
      <c r="C27" s="13" t="str">
        <f>IF($A27="","",IFERROR(INDEX('Matters Register'!$E$5:$E$44,MATCH($A27,'Matters Register'!$A$5:$A$44,0)),"?"))</f>
        <v/>
      </c>
      <c r="D27" s="14" t="n"/>
      <c r="E27" s="15" t="str">
        <f>IF(OR($A27="",$D27=""),"",$D27*$C27)</f>
        <v/>
      </c>
      <c r="F27" s="15" t="str">
        <f>IF($E27="","",$E27-SUMIFS($E$5:$E$64,$A$5:$A$64,$A27,$B$5:$B$64,"="&amp;_xlfn.MAXIFS($B$5:$B$64,$A$5:$A$64,$A27,$B$5:$B$64,"&lt;"&amp;$B27)))</f>
        <v/>
      </c>
      <c r="G27" s="16" t="str">
        <f>IF($A27="","",IF(COUNTIFS('Month-End Provisions'!$A$5:$A$1004,$A27,'Month-End Provisions'!$B$5:$B$1004,$B27)=0,"",SUMIFS('Month-End Provisions'!$C$5:$C$1004,'Month-End Provisions'!$A$5:$A$1004,$A27,'Month-End Provisions'!$B$5:$B$1004,$B27)))</f>
        <v/>
      </c>
      <c r="H27" s="17" t="str">
        <f>IF(OR($G27="",$F27=""),"",$G27-$F27)</f>
        <v/>
      </c>
      <c r="I27" s="16" t="str">
        <f>IF($A27="","",SUMIFS('Month-End Provisions'!$C$5:$C$1004,'Month-End Provisions'!$A$5:$A$1004,$A27,'Month-End Provisions'!$B$5:$B$1004,"&lt;="&amp;$B27))</f>
        <v/>
      </c>
      <c r="J27" s="15" t="str">
        <f>IF($A27="","",$C27-$I27)</f>
        <v/>
      </c>
    </row>
    <row r="28">
      <c r="A28" s="6" t="n"/>
      <c r="B28" s="12" t="n"/>
      <c r="C28" s="13" t="str">
        <f>IF($A28="","",IFERROR(INDEX('Matters Register'!$E$5:$E$44,MATCH($A28,'Matters Register'!$A$5:$A$44,0)),"?"))</f>
        <v/>
      </c>
      <c r="D28" s="14" t="n"/>
      <c r="E28" s="15" t="str">
        <f>IF(OR($A28="",$D28=""),"",$D28*$C28)</f>
        <v/>
      </c>
      <c r="F28" s="15" t="str">
        <f>IF($E28="","",$E28-SUMIFS($E$5:$E$64,$A$5:$A$64,$A28,$B$5:$B$64,"="&amp;_xlfn.MAXIFS($B$5:$B$64,$A$5:$A$64,$A28,$B$5:$B$64,"&lt;"&amp;$B28)))</f>
        <v/>
      </c>
      <c r="G28" s="16" t="str">
        <f>IF($A28="","",IF(COUNTIFS('Month-End Provisions'!$A$5:$A$1004,$A28,'Month-End Provisions'!$B$5:$B$1004,$B28)=0,"",SUMIFS('Month-End Provisions'!$C$5:$C$1004,'Month-End Provisions'!$A$5:$A$1004,$A28,'Month-End Provisions'!$B$5:$B$1004,$B28)))</f>
        <v/>
      </c>
      <c r="H28" s="17" t="str">
        <f>IF(OR($G28="",$F28=""),"",$G28-$F28)</f>
        <v/>
      </c>
      <c r="I28" s="16" t="str">
        <f>IF($A28="","",SUMIFS('Month-End Provisions'!$C$5:$C$1004,'Month-End Provisions'!$A$5:$A$1004,$A28,'Month-End Provisions'!$B$5:$B$1004,"&lt;="&amp;$B28))</f>
        <v/>
      </c>
      <c r="J28" s="15" t="str">
        <f>IF($A28="","",$C28-$I28)</f>
        <v/>
      </c>
    </row>
    <row r="29">
      <c r="A29" s="6" t="n"/>
      <c r="B29" s="12" t="n"/>
      <c r="C29" s="13" t="str">
        <f>IF($A29="","",IFERROR(INDEX('Matters Register'!$E$5:$E$44,MATCH($A29,'Matters Register'!$A$5:$A$44,0)),"?"))</f>
        <v/>
      </c>
      <c r="D29" s="14" t="n"/>
      <c r="E29" s="15" t="str">
        <f>IF(OR($A29="",$D29=""),"",$D29*$C29)</f>
        <v/>
      </c>
      <c r="F29" s="15" t="str">
        <f>IF($E29="","",$E29-SUMIFS($E$5:$E$64,$A$5:$A$64,$A29,$B$5:$B$64,"="&amp;_xlfn.MAXIFS($B$5:$B$64,$A$5:$A$64,$A29,$B$5:$B$64,"&lt;"&amp;$B29)))</f>
        <v/>
      </c>
      <c r="G29" s="16" t="str">
        <f>IF($A29="","",IF(COUNTIFS('Month-End Provisions'!$A$5:$A$1004,$A29,'Month-End Provisions'!$B$5:$B$1004,$B29)=0,"",SUMIFS('Month-End Provisions'!$C$5:$C$1004,'Month-End Provisions'!$A$5:$A$1004,$A29,'Month-End Provisions'!$B$5:$B$1004,$B29)))</f>
        <v/>
      </c>
      <c r="H29" s="17" t="str">
        <f>IF(OR($G29="",$F29=""),"",$G29-$F29)</f>
        <v/>
      </c>
      <c r="I29" s="16" t="str">
        <f>IF($A29="","",SUMIFS('Month-End Provisions'!$C$5:$C$1004,'Month-End Provisions'!$A$5:$A$1004,$A29,'Month-End Provisions'!$B$5:$B$1004,"&lt;="&amp;$B29))</f>
        <v/>
      </c>
      <c r="J29" s="15" t="str">
        <f>IF($A29="","",$C29-$I29)</f>
        <v/>
      </c>
    </row>
    <row r="30">
      <c r="A30" s="6" t="n"/>
      <c r="B30" s="12" t="n"/>
      <c r="C30" s="13" t="str">
        <f>IF($A30="","",IFERROR(INDEX('Matters Register'!$E$5:$E$44,MATCH($A30,'Matters Register'!$A$5:$A$44,0)),"?"))</f>
        <v/>
      </c>
      <c r="D30" s="14" t="n"/>
      <c r="E30" s="15" t="str">
        <f>IF(OR($A30="",$D30=""),"",$D30*$C30)</f>
        <v/>
      </c>
      <c r="F30" s="15" t="str">
        <f>IF($E30="","",$E30-SUMIFS($E$5:$E$64,$A$5:$A$64,$A30,$B$5:$B$64,"="&amp;_xlfn.MAXIFS($B$5:$B$64,$A$5:$A$64,$A30,$B$5:$B$64,"&lt;"&amp;$B30)))</f>
        <v/>
      </c>
      <c r="G30" s="16" t="str">
        <f>IF($A30="","",IF(COUNTIFS('Month-End Provisions'!$A$5:$A$1004,$A30,'Month-End Provisions'!$B$5:$B$1004,$B30)=0,"",SUMIFS('Month-End Provisions'!$C$5:$C$1004,'Month-End Provisions'!$A$5:$A$1004,$A30,'Month-End Provisions'!$B$5:$B$1004,$B30)))</f>
        <v/>
      </c>
      <c r="H30" s="17" t="str">
        <f>IF(OR($G30="",$F30=""),"",$G30-$F30)</f>
        <v/>
      </c>
      <c r="I30" s="16" t="str">
        <f>IF($A30="","",SUMIFS('Month-End Provisions'!$C$5:$C$1004,'Month-End Provisions'!$A$5:$A$1004,$A30,'Month-End Provisions'!$B$5:$B$1004,"&lt;="&amp;$B30))</f>
        <v/>
      </c>
      <c r="J30" s="15" t="str">
        <f>IF($A30="","",$C30-$I30)</f>
        <v/>
      </c>
    </row>
    <row r="31">
      <c r="A31" s="6" t="n"/>
      <c r="B31" s="12" t="n"/>
      <c r="C31" s="13" t="str">
        <f>IF($A31="","",IFERROR(INDEX('Matters Register'!$E$5:$E$44,MATCH($A31,'Matters Register'!$A$5:$A$44,0)),"?"))</f>
        <v/>
      </c>
      <c r="D31" s="14" t="n"/>
      <c r="E31" s="15" t="str">
        <f>IF(OR($A31="",$D31=""),"",$D31*$C31)</f>
        <v/>
      </c>
      <c r="F31" s="15" t="str">
        <f>IF($E31="","",$E31-SUMIFS($E$5:$E$64,$A$5:$A$64,$A31,$B$5:$B$64,"="&amp;_xlfn.MAXIFS($B$5:$B$64,$A$5:$A$64,$A31,$B$5:$B$64,"&lt;"&amp;$B31)))</f>
        <v/>
      </c>
      <c r="G31" s="16" t="str">
        <f>IF($A31="","",IF(COUNTIFS('Month-End Provisions'!$A$5:$A$1004,$A31,'Month-End Provisions'!$B$5:$B$1004,$B31)=0,"",SUMIFS('Month-End Provisions'!$C$5:$C$1004,'Month-End Provisions'!$A$5:$A$1004,$A31,'Month-End Provisions'!$B$5:$B$1004,$B31)))</f>
        <v/>
      </c>
      <c r="H31" s="17" t="str">
        <f>IF(OR($G31="",$F31=""),"",$G31-$F31)</f>
        <v/>
      </c>
      <c r="I31" s="16" t="str">
        <f>IF($A31="","",SUMIFS('Month-End Provisions'!$C$5:$C$1004,'Month-End Provisions'!$A$5:$A$1004,$A31,'Month-End Provisions'!$B$5:$B$1004,"&lt;="&amp;$B31))</f>
        <v/>
      </c>
      <c r="J31" s="15" t="str">
        <f>IF($A31="","",$C31-$I31)</f>
        <v/>
      </c>
    </row>
    <row r="32">
      <c r="A32" s="6" t="n"/>
      <c r="B32" s="12" t="n"/>
      <c r="C32" s="13" t="str">
        <f>IF($A32="","",IFERROR(INDEX('Matters Register'!$E$5:$E$44,MATCH($A32,'Matters Register'!$A$5:$A$44,0)),"?"))</f>
        <v/>
      </c>
      <c r="D32" s="14" t="n"/>
      <c r="E32" s="15" t="str">
        <f>IF(OR($A32="",$D32=""),"",$D32*$C32)</f>
        <v/>
      </c>
      <c r="F32" s="15" t="str">
        <f>IF($E32="","",$E32-SUMIFS($E$5:$E$64,$A$5:$A$64,$A32,$B$5:$B$64,"="&amp;_xlfn.MAXIFS($B$5:$B$64,$A$5:$A$64,$A32,$B$5:$B$64,"&lt;"&amp;$B32)))</f>
        <v/>
      </c>
      <c r="G32" s="16" t="str">
        <f>IF($A32="","",IF(COUNTIFS('Month-End Provisions'!$A$5:$A$1004,$A32,'Month-End Provisions'!$B$5:$B$1004,$B32)=0,"",SUMIFS('Month-End Provisions'!$C$5:$C$1004,'Month-End Provisions'!$A$5:$A$1004,$A32,'Month-End Provisions'!$B$5:$B$1004,$B32)))</f>
        <v/>
      </c>
      <c r="H32" s="17" t="str">
        <f>IF(OR($G32="",$F32=""),"",$G32-$F32)</f>
        <v/>
      </c>
      <c r="I32" s="16" t="str">
        <f>IF($A32="","",SUMIFS('Month-End Provisions'!$C$5:$C$1004,'Month-End Provisions'!$A$5:$A$1004,$A32,'Month-End Provisions'!$B$5:$B$1004,"&lt;="&amp;$B32))</f>
        <v/>
      </c>
      <c r="J32" s="15" t="str">
        <f>IF($A32="","",$C32-$I32)</f>
        <v/>
      </c>
    </row>
    <row r="33">
      <c r="A33" s="6" t="n"/>
      <c r="B33" s="12" t="n"/>
      <c r="C33" s="13" t="str">
        <f>IF($A33="","",IFERROR(INDEX('Matters Register'!$E$5:$E$44,MATCH($A33,'Matters Register'!$A$5:$A$44,0)),"?"))</f>
        <v/>
      </c>
      <c r="D33" s="14" t="n"/>
      <c r="E33" s="15" t="str">
        <f>IF(OR($A33="",$D33=""),"",$D33*$C33)</f>
        <v/>
      </c>
      <c r="F33" s="15" t="str">
        <f>IF($E33="","",$E33-SUMIFS($E$5:$E$64,$A$5:$A$64,$A33,$B$5:$B$64,"="&amp;_xlfn.MAXIFS($B$5:$B$64,$A$5:$A$64,$A33,$B$5:$B$64,"&lt;"&amp;$B33)))</f>
        <v/>
      </c>
      <c r="G33" s="16" t="str">
        <f>IF($A33="","",IF(COUNTIFS('Month-End Provisions'!$A$5:$A$1004,$A33,'Month-End Provisions'!$B$5:$B$1004,$B33)=0,"",SUMIFS('Month-End Provisions'!$C$5:$C$1004,'Month-End Provisions'!$A$5:$A$1004,$A33,'Month-End Provisions'!$B$5:$B$1004,$B33)))</f>
        <v/>
      </c>
      <c r="H33" s="17" t="str">
        <f>IF(OR($G33="",$F33=""),"",$G33-$F33)</f>
        <v/>
      </c>
      <c r="I33" s="16" t="str">
        <f>IF($A33="","",SUMIFS('Month-End Provisions'!$C$5:$C$1004,'Month-End Provisions'!$A$5:$A$1004,$A33,'Month-End Provisions'!$B$5:$B$1004,"&lt;="&amp;$B33))</f>
        <v/>
      </c>
      <c r="J33" s="15" t="str">
        <f>IF($A33="","",$C33-$I33)</f>
        <v/>
      </c>
    </row>
    <row r="34">
      <c r="A34" s="6" t="n"/>
      <c r="B34" s="12" t="n"/>
      <c r="C34" s="13" t="str">
        <f>IF($A34="","",IFERROR(INDEX('Matters Register'!$E$5:$E$44,MATCH($A34,'Matters Register'!$A$5:$A$44,0)),"?"))</f>
        <v/>
      </c>
      <c r="D34" s="14" t="n"/>
      <c r="E34" s="15" t="str">
        <f>IF(OR($A34="",$D34=""),"",$D34*$C34)</f>
        <v/>
      </c>
      <c r="F34" s="15" t="str">
        <f>IF($E34="","",$E34-SUMIFS($E$5:$E$64,$A$5:$A$64,$A34,$B$5:$B$64,"="&amp;_xlfn.MAXIFS($B$5:$B$64,$A$5:$A$64,$A34,$B$5:$B$64,"&lt;"&amp;$B34)))</f>
        <v/>
      </c>
      <c r="G34" s="16" t="str">
        <f>IF($A34="","",IF(COUNTIFS('Month-End Provisions'!$A$5:$A$1004,$A34,'Month-End Provisions'!$B$5:$B$1004,$B34)=0,"",SUMIFS('Month-End Provisions'!$C$5:$C$1004,'Month-End Provisions'!$A$5:$A$1004,$A34,'Month-End Provisions'!$B$5:$B$1004,$B34)))</f>
        <v/>
      </c>
      <c r="H34" s="17" t="str">
        <f>IF(OR($G34="",$F34=""),"",$G34-$F34)</f>
        <v/>
      </c>
      <c r="I34" s="16" t="str">
        <f>IF($A34="","",SUMIFS('Month-End Provisions'!$C$5:$C$1004,'Month-End Provisions'!$A$5:$A$1004,$A34,'Month-End Provisions'!$B$5:$B$1004,"&lt;="&amp;$B34))</f>
        <v/>
      </c>
      <c r="J34" s="15" t="str">
        <f>IF($A34="","",$C34-$I34)</f>
        <v/>
      </c>
    </row>
    <row r="35">
      <c r="A35" s="6" t="n"/>
      <c r="B35" s="12" t="n"/>
      <c r="C35" s="13" t="str">
        <f>IF($A35="","",IFERROR(INDEX('Matters Register'!$E$5:$E$44,MATCH($A35,'Matters Register'!$A$5:$A$44,0)),"?"))</f>
        <v/>
      </c>
      <c r="D35" s="14" t="n"/>
      <c r="E35" s="15" t="str">
        <f>IF(OR($A35="",$D35=""),"",$D35*$C35)</f>
        <v/>
      </c>
      <c r="F35" s="15" t="str">
        <f>IF($E35="","",$E35-SUMIFS($E$5:$E$64,$A$5:$A$64,$A35,$B$5:$B$64,"="&amp;_xlfn.MAXIFS($B$5:$B$64,$A$5:$A$64,$A35,$B$5:$B$64,"&lt;"&amp;$B35)))</f>
        <v/>
      </c>
      <c r="G35" s="16" t="str">
        <f>IF($A35="","",IF(COUNTIFS('Month-End Provisions'!$A$5:$A$1004,$A35,'Month-End Provisions'!$B$5:$B$1004,$B35)=0,"",SUMIFS('Month-End Provisions'!$C$5:$C$1004,'Month-End Provisions'!$A$5:$A$1004,$A35,'Month-End Provisions'!$B$5:$B$1004,$B35)))</f>
        <v/>
      </c>
      <c r="H35" s="17" t="str">
        <f>IF(OR($G35="",$F35=""),"",$G35-$F35)</f>
        <v/>
      </c>
      <c r="I35" s="16" t="str">
        <f>IF($A35="","",SUMIFS('Month-End Provisions'!$C$5:$C$1004,'Month-End Provisions'!$A$5:$A$1004,$A35,'Month-End Provisions'!$B$5:$B$1004,"&lt;="&amp;$B35))</f>
        <v/>
      </c>
      <c r="J35" s="15" t="str">
        <f>IF($A35="","",$C35-$I35)</f>
        <v/>
      </c>
    </row>
    <row r="36">
      <c r="A36" s="6" t="n"/>
      <c r="B36" s="12" t="n"/>
      <c r="C36" s="13" t="str">
        <f>IF($A36="","",IFERROR(INDEX('Matters Register'!$E$5:$E$44,MATCH($A36,'Matters Register'!$A$5:$A$44,0)),"?"))</f>
        <v/>
      </c>
      <c r="D36" s="14" t="n"/>
      <c r="E36" s="15" t="str">
        <f>IF(OR($A36="",$D36=""),"",$D36*$C36)</f>
        <v/>
      </c>
      <c r="F36" s="15" t="str">
        <f>IF($E36="","",$E36-SUMIFS($E$5:$E$64,$A$5:$A$64,$A36,$B$5:$B$64,"="&amp;_xlfn.MAXIFS($B$5:$B$64,$A$5:$A$64,$A36,$B$5:$B$64,"&lt;"&amp;$B36)))</f>
        <v/>
      </c>
      <c r="G36" s="16" t="str">
        <f>IF($A36="","",IF(COUNTIFS('Month-End Provisions'!$A$5:$A$1004,$A36,'Month-End Provisions'!$B$5:$B$1004,$B36)=0,"",SUMIFS('Month-End Provisions'!$C$5:$C$1004,'Month-End Provisions'!$A$5:$A$1004,$A36,'Month-End Provisions'!$B$5:$B$1004,$B36)))</f>
        <v/>
      </c>
      <c r="H36" s="17" t="str">
        <f>IF(OR($G36="",$F36=""),"",$G36-$F36)</f>
        <v/>
      </c>
      <c r="I36" s="16" t="str">
        <f>IF($A36="","",SUMIFS('Month-End Provisions'!$C$5:$C$1004,'Month-End Provisions'!$A$5:$A$1004,$A36,'Month-End Provisions'!$B$5:$B$1004,"&lt;="&amp;$B36))</f>
        <v/>
      </c>
      <c r="J36" s="15" t="str">
        <f>IF($A36="","",$C36-$I36)</f>
        <v/>
      </c>
    </row>
    <row r="37">
      <c r="A37" s="6" t="n"/>
      <c r="B37" s="12" t="n"/>
      <c r="C37" s="13" t="str">
        <f>IF($A37="","",IFERROR(INDEX('Matters Register'!$E$5:$E$44,MATCH($A37,'Matters Register'!$A$5:$A$44,0)),"?"))</f>
        <v/>
      </c>
      <c r="D37" s="14" t="n"/>
      <c r="E37" s="15" t="str">
        <f>IF(OR($A37="",$D37=""),"",$D37*$C37)</f>
        <v/>
      </c>
      <c r="F37" s="15" t="str">
        <f>IF($E37="","",$E37-SUMIFS($E$5:$E$64,$A$5:$A$64,$A37,$B$5:$B$64,"="&amp;_xlfn.MAXIFS($B$5:$B$64,$A$5:$A$64,$A37,$B$5:$B$64,"&lt;"&amp;$B37)))</f>
        <v/>
      </c>
      <c r="G37" s="16" t="str">
        <f>IF($A37="","",IF(COUNTIFS('Month-End Provisions'!$A$5:$A$1004,$A37,'Month-End Provisions'!$B$5:$B$1004,$B37)=0,"",SUMIFS('Month-End Provisions'!$C$5:$C$1004,'Month-End Provisions'!$A$5:$A$1004,$A37,'Month-End Provisions'!$B$5:$B$1004,$B37)))</f>
        <v/>
      </c>
      <c r="H37" s="17" t="str">
        <f>IF(OR($G37="",$F37=""),"",$G37-$F37)</f>
        <v/>
      </c>
      <c r="I37" s="16" t="str">
        <f>IF($A37="","",SUMIFS('Month-End Provisions'!$C$5:$C$1004,'Month-End Provisions'!$A$5:$A$1004,$A37,'Month-End Provisions'!$B$5:$B$1004,"&lt;="&amp;$B37))</f>
        <v/>
      </c>
      <c r="J37" s="15" t="str">
        <f>IF($A37="","",$C37-$I37)</f>
        <v/>
      </c>
    </row>
    <row r="38">
      <c r="A38" s="6" t="n"/>
      <c r="B38" s="12" t="n"/>
      <c r="C38" s="13" t="str">
        <f>IF($A38="","",IFERROR(INDEX('Matters Register'!$E$5:$E$44,MATCH($A38,'Matters Register'!$A$5:$A$44,0)),"?"))</f>
        <v/>
      </c>
      <c r="D38" s="14" t="n"/>
      <c r="E38" s="15" t="str">
        <f>IF(OR($A38="",$D38=""),"",$D38*$C38)</f>
        <v/>
      </c>
      <c r="F38" s="15" t="str">
        <f>IF($E38="","",$E38-SUMIFS($E$5:$E$64,$A$5:$A$64,$A38,$B$5:$B$64,"="&amp;_xlfn.MAXIFS($B$5:$B$64,$A$5:$A$64,$A38,$B$5:$B$64,"&lt;"&amp;$B38)))</f>
        <v/>
      </c>
      <c r="G38" s="16" t="str">
        <f>IF($A38="","",IF(COUNTIFS('Month-End Provisions'!$A$5:$A$1004,$A38,'Month-End Provisions'!$B$5:$B$1004,$B38)=0,"",SUMIFS('Month-End Provisions'!$C$5:$C$1004,'Month-End Provisions'!$A$5:$A$1004,$A38,'Month-End Provisions'!$B$5:$B$1004,$B38)))</f>
        <v/>
      </c>
      <c r="H38" s="17" t="str">
        <f>IF(OR($G38="",$F38=""),"",$G38-$F38)</f>
        <v/>
      </c>
      <c r="I38" s="16" t="str">
        <f>IF($A38="","",SUMIFS('Month-End Provisions'!$C$5:$C$1004,'Month-End Provisions'!$A$5:$A$1004,$A38,'Month-End Provisions'!$B$5:$B$1004,"&lt;="&amp;$B38))</f>
        <v/>
      </c>
      <c r="J38" s="15" t="str">
        <f>IF($A38="","",$C38-$I38)</f>
        <v/>
      </c>
    </row>
    <row r="39">
      <c r="A39" s="6" t="n"/>
      <c r="B39" s="12" t="n"/>
      <c r="C39" s="13" t="str">
        <f>IF($A39="","",IFERROR(INDEX('Matters Register'!$E$5:$E$44,MATCH($A39,'Matters Register'!$A$5:$A$44,0)),"?"))</f>
        <v/>
      </c>
      <c r="D39" s="14" t="n"/>
      <c r="E39" s="15" t="str">
        <f>IF(OR($A39="",$D39=""),"",$D39*$C39)</f>
        <v/>
      </c>
      <c r="F39" s="15" t="str">
        <f>IF($E39="","",$E39-SUMIFS($E$5:$E$64,$A$5:$A$64,$A39,$B$5:$B$64,"="&amp;_xlfn.MAXIFS($B$5:$B$64,$A$5:$A$64,$A39,$B$5:$B$64,"&lt;"&amp;$B39)))</f>
        <v/>
      </c>
      <c r="G39" s="16" t="str">
        <f>IF($A39="","",IF(COUNTIFS('Month-End Provisions'!$A$5:$A$1004,$A39,'Month-End Provisions'!$B$5:$B$1004,$B39)=0,"",SUMIFS('Month-End Provisions'!$C$5:$C$1004,'Month-End Provisions'!$A$5:$A$1004,$A39,'Month-End Provisions'!$B$5:$B$1004,$B39)))</f>
        <v/>
      </c>
      <c r="H39" s="17" t="str">
        <f>IF(OR($G39="",$F39=""),"",$G39-$F39)</f>
        <v/>
      </c>
      <c r="I39" s="16" t="str">
        <f>IF($A39="","",SUMIFS('Month-End Provisions'!$C$5:$C$1004,'Month-End Provisions'!$A$5:$A$1004,$A39,'Month-End Provisions'!$B$5:$B$1004,"&lt;="&amp;$B39))</f>
        <v/>
      </c>
      <c r="J39" s="15" t="str">
        <f>IF($A39="","",$C39-$I39)</f>
        <v/>
      </c>
    </row>
    <row r="40">
      <c r="A40" s="6" t="n"/>
      <c r="B40" s="12" t="n"/>
      <c r="C40" s="13" t="str">
        <f>IF($A40="","",IFERROR(INDEX('Matters Register'!$E$5:$E$44,MATCH($A40,'Matters Register'!$A$5:$A$44,0)),"?"))</f>
        <v/>
      </c>
      <c r="D40" s="14" t="n"/>
      <c r="E40" s="15" t="str">
        <f>IF(OR($A40="",$D40=""),"",$D40*$C40)</f>
        <v/>
      </c>
      <c r="F40" s="15" t="str">
        <f>IF($E40="","",$E40-SUMIFS($E$5:$E$64,$A$5:$A$64,$A40,$B$5:$B$64,"="&amp;_xlfn.MAXIFS($B$5:$B$64,$A$5:$A$64,$A40,$B$5:$B$64,"&lt;"&amp;$B40)))</f>
        <v/>
      </c>
      <c r="G40" s="16" t="str">
        <f>IF($A40="","",IF(COUNTIFS('Month-End Provisions'!$A$5:$A$1004,$A40,'Month-End Provisions'!$B$5:$B$1004,$B40)=0,"",SUMIFS('Month-End Provisions'!$C$5:$C$1004,'Month-End Provisions'!$A$5:$A$1004,$A40,'Month-End Provisions'!$B$5:$B$1004,$B40)))</f>
        <v/>
      </c>
      <c r="H40" s="17" t="str">
        <f>IF(OR($G40="",$F40=""),"",$G40-$F40)</f>
        <v/>
      </c>
      <c r="I40" s="16" t="str">
        <f>IF($A40="","",SUMIFS('Month-End Provisions'!$C$5:$C$1004,'Month-End Provisions'!$A$5:$A$1004,$A40,'Month-End Provisions'!$B$5:$B$1004,"&lt;="&amp;$B40))</f>
        <v/>
      </c>
      <c r="J40" s="15" t="str">
        <f>IF($A40="","",$C40-$I40)</f>
        <v/>
      </c>
    </row>
    <row r="41">
      <c r="A41" s="6" t="n"/>
      <c r="B41" s="12" t="n"/>
      <c r="C41" s="13" t="str">
        <f>IF($A41="","",IFERROR(INDEX('Matters Register'!$E$5:$E$44,MATCH($A41,'Matters Register'!$A$5:$A$44,0)),"?"))</f>
        <v/>
      </c>
      <c r="D41" s="14" t="n"/>
      <c r="E41" s="15" t="str">
        <f>IF(OR($A41="",$D41=""),"",$D41*$C41)</f>
        <v/>
      </c>
      <c r="F41" s="15" t="str">
        <f>IF($E41="","",$E41-SUMIFS($E$5:$E$64,$A$5:$A$64,$A41,$B$5:$B$64,"="&amp;_xlfn.MAXIFS($B$5:$B$64,$A$5:$A$64,$A41,$B$5:$B$64,"&lt;"&amp;$B41)))</f>
        <v/>
      </c>
      <c r="G41" s="16" t="str">
        <f>IF($A41="","",IF(COUNTIFS('Month-End Provisions'!$A$5:$A$1004,$A41,'Month-End Provisions'!$B$5:$B$1004,$B41)=0,"",SUMIFS('Month-End Provisions'!$C$5:$C$1004,'Month-End Provisions'!$A$5:$A$1004,$A41,'Month-End Provisions'!$B$5:$B$1004,$B41)))</f>
        <v/>
      </c>
      <c r="H41" s="17" t="str">
        <f>IF(OR($G41="",$F41=""),"",$G41-$F41)</f>
        <v/>
      </c>
      <c r="I41" s="16" t="str">
        <f>IF($A41="","",SUMIFS('Month-End Provisions'!$C$5:$C$1004,'Month-End Provisions'!$A$5:$A$1004,$A41,'Month-End Provisions'!$B$5:$B$1004,"&lt;="&amp;$B41))</f>
        <v/>
      </c>
      <c r="J41" s="15" t="str">
        <f>IF($A41="","",$C41-$I41)</f>
        <v/>
      </c>
    </row>
    <row r="42">
      <c r="A42" s="6" t="n"/>
      <c r="B42" s="12" t="n"/>
      <c r="C42" s="13" t="str">
        <f>IF($A42="","",IFERROR(INDEX('Matters Register'!$E$5:$E$44,MATCH($A42,'Matters Register'!$A$5:$A$44,0)),"?"))</f>
        <v/>
      </c>
      <c r="D42" s="14" t="n"/>
      <c r="E42" s="15" t="str">
        <f>IF(OR($A42="",$D42=""),"",$D42*$C42)</f>
        <v/>
      </c>
      <c r="F42" s="15" t="str">
        <f>IF($E42="","",$E42-SUMIFS($E$5:$E$64,$A$5:$A$64,$A42,$B$5:$B$64,"="&amp;_xlfn.MAXIFS($B$5:$B$64,$A$5:$A$64,$A42,$B$5:$B$64,"&lt;"&amp;$B42)))</f>
        <v/>
      </c>
      <c r="G42" s="16" t="str">
        <f>IF($A42="","",IF(COUNTIFS('Month-End Provisions'!$A$5:$A$1004,$A42,'Month-End Provisions'!$B$5:$B$1004,$B42)=0,"",SUMIFS('Month-End Provisions'!$C$5:$C$1004,'Month-End Provisions'!$A$5:$A$1004,$A42,'Month-End Provisions'!$B$5:$B$1004,$B42)))</f>
        <v/>
      </c>
      <c r="H42" s="17" t="str">
        <f>IF(OR($G42="",$F42=""),"",$G42-$F42)</f>
        <v/>
      </c>
      <c r="I42" s="16" t="str">
        <f>IF($A42="","",SUMIFS('Month-End Provisions'!$C$5:$C$1004,'Month-End Provisions'!$A$5:$A$1004,$A42,'Month-End Provisions'!$B$5:$B$1004,"&lt;="&amp;$B42))</f>
        <v/>
      </c>
      <c r="J42" s="15" t="str">
        <f>IF($A42="","",$C42-$I42)</f>
        <v/>
      </c>
    </row>
    <row r="43">
      <c r="A43" s="6" t="n"/>
      <c r="B43" s="12" t="n"/>
      <c r="C43" s="13" t="str">
        <f>IF($A43="","",IFERROR(INDEX('Matters Register'!$E$5:$E$44,MATCH($A43,'Matters Register'!$A$5:$A$44,0)),"?"))</f>
        <v/>
      </c>
      <c r="D43" s="14" t="n"/>
      <c r="E43" s="15" t="str">
        <f>IF(OR($A43="",$D43=""),"",$D43*$C43)</f>
        <v/>
      </c>
      <c r="F43" s="15" t="str">
        <f>IF($E43="","",$E43-SUMIFS($E$5:$E$64,$A$5:$A$64,$A43,$B$5:$B$64,"="&amp;_xlfn.MAXIFS($B$5:$B$64,$A$5:$A$64,$A43,$B$5:$B$64,"&lt;"&amp;$B43)))</f>
        <v/>
      </c>
      <c r="G43" s="16" t="str">
        <f>IF($A43="","",IF(COUNTIFS('Month-End Provisions'!$A$5:$A$1004,$A43,'Month-End Provisions'!$B$5:$B$1004,$B43)=0,"",SUMIFS('Month-End Provisions'!$C$5:$C$1004,'Month-End Provisions'!$A$5:$A$1004,$A43,'Month-End Provisions'!$B$5:$B$1004,$B43)))</f>
        <v/>
      </c>
      <c r="H43" s="17" t="str">
        <f>IF(OR($G43="",$F43=""),"",$G43-$F43)</f>
        <v/>
      </c>
      <c r="I43" s="16" t="str">
        <f>IF($A43="","",SUMIFS('Month-End Provisions'!$C$5:$C$1004,'Month-End Provisions'!$A$5:$A$1004,$A43,'Month-End Provisions'!$B$5:$B$1004,"&lt;="&amp;$B43))</f>
        <v/>
      </c>
      <c r="J43" s="15" t="str">
        <f>IF($A43="","",$C43-$I43)</f>
        <v/>
      </c>
    </row>
    <row r="44">
      <c r="A44" s="6" t="n"/>
      <c r="B44" s="12" t="n"/>
      <c r="C44" s="13" t="str">
        <f>IF($A44="","",IFERROR(INDEX('Matters Register'!$E$5:$E$44,MATCH($A44,'Matters Register'!$A$5:$A$44,0)),"?"))</f>
        <v/>
      </c>
      <c r="D44" s="14" t="n"/>
      <c r="E44" s="15" t="str">
        <f>IF(OR($A44="",$D44=""),"",$D44*$C44)</f>
        <v/>
      </c>
      <c r="F44" s="15" t="str">
        <f>IF($E44="","",$E44-SUMIFS($E$5:$E$64,$A$5:$A$64,$A44,$B$5:$B$64,"="&amp;_xlfn.MAXIFS($B$5:$B$64,$A$5:$A$64,$A44,$B$5:$B$64,"&lt;"&amp;$B44)))</f>
        <v/>
      </c>
      <c r="G44" s="16" t="str">
        <f>IF($A44="","",IF(COUNTIFS('Month-End Provisions'!$A$5:$A$1004,$A44,'Month-End Provisions'!$B$5:$B$1004,$B44)=0,"",SUMIFS('Month-End Provisions'!$C$5:$C$1004,'Month-End Provisions'!$A$5:$A$1004,$A44,'Month-End Provisions'!$B$5:$B$1004,$B44)))</f>
        <v/>
      </c>
      <c r="H44" s="17" t="str">
        <f>IF(OR($G44="",$F44=""),"",$G44-$F44)</f>
        <v/>
      </c>
      <c r="I44" s="16" t="str">
        <f>IF($A44="","",SUMIFS('Month-End Provisions'!$C$5:$C$1004,'Month-End Provisions'!$A$5:$A$1004,$A44,'Month-End Provisions'!$B$5:$B$1004,"&lt;="&amp;$B44))</f>
        <v/>
      </c>
      <c r="J44" s="15" t="str">
        <f>IF($A44="","",$C44-$I44)</f>
        <v/>
      </c>
    </row>
    <row r="45">
      <c r="A45" s="6" t="n"/>
      <c r="B45" s="12" t="n"/>
      <c r="C45" s="13" t="str">
        <f>IF($A45="","",IFERROR(INDEX('Matters Register'!$E$5:$E$44,MATCH($A45,'Matters Register'!$A$5:$A$44,0)),"?"))</f>
        <v/>
      </c>
      <c r="D45" s="14" t="n"/>
      <c r="E45" s="15" t="str">
        <f>IF(OR($A45="",$D45=""),"",$D45*$C45)</f>
        <v/>
      </c>
      <c r="F45" s="15" t="str">
        <f>IF($E45="","",$E45-SUMIFS($E$5:$E$64,$A$5:$A$64,$A45,$B$5:$B$64,"="&amp;_xlfn.MAXIFS($B$5:$B$64,$A$5:$A$64,$A45,$B$5:$B$64,"&lt;"&amp;$B45)))</f>
        <v/>
      </c>
      <c r="G45" s="16" t="str">
        <f>IF($A45="","",IF(COUNTIFS('Month-End Provisions'!$A$5:$A$1004,$A45,'Month-End Provisions'!$B$5:$B$1004,$B45)=0,"",SUMIFS('Month-End Provisions'!$C$5:$C$1004,'Month-End Provisions'!$A$5:$A$1004,$A45,'Month-End Provisions'!$B$5:$B$1004,$B45)))</f>
        <v/>
      </c>
      <c r="H45" s="17" t="str">
        <f>IF(OR($G45="",$F45=""),"",$G45-$F45)</f>
        <v/>
      </c>
      <c r="I45" s="16" t="str">
        <f>IF($A45="","",SUMIFS('Month-End Provisions'!$C$5:$C$1004,'Month-End Provisions'!$A$5:$A$1004,$A45,'Month-End Provisions'!$B$5:$B$1004,"&lt;="&amp;$B45))</f>
        <v/>
      </c>
      <c r="J45" s="15" t="str">
        <f>IF($A45="","",$C45-$I45)</f>
        <v/>
      </c>
    </row>
    <row r="46">
      <c r="A46" s="6" t="n"/>
      <c r="B46" s="12" t="n"/>
      <c r="C46" s="13" t="str">
        <f>IF($A46="","",IFERROR(INDEX('Matters Register'!$E$5:$E$44,MATCH($A46,'Matters Register'!$A$5:$A$44,0)),"?"))</f>
        <v/>
      </c>
      <c r="D46" s="14" t="n"/>
      <c r="E46" s="15" t="str">
        <f>IF(OR($A46="",$D46=""),"",$D46*$C46)</f>
        <v/>
      </c>
      <c r="F46" s="15" t="str">
        <f>IF($E46="","",$E46-SUMIFS($E$5:$E$64,$A$5:$A$64,$A46,$B$5:$B$64,"="&amp;_xlfn.MAXIFS($B$5:$B$64,$A$5:$A$64,$A46,$B$5:$B$64,"&lt;"&amp;$B46)))</f>
        <v/>
      </c>
      <c r="G46" s="16" t="str">
        <f>IF($A46="","",IF(COUNTIFS('Month-End Provisions'!$A$5:$A$1004,$A46,'Month-End Provisions'!$B$5:$B$1004,$B46)=0,"",SUMIFS('Month-End Provisions'!$C$5:$C$1004,'Month-End Provisions'!$A$5:$A$1004,$A46,'Month-End Provisions'!$B$5:$B$1004,$B46)))</f>
        <v/>
      </c>
      <c r="H46" s="17" t="str">
        <f>IF(OR($G46="",$F46=""),"",$G46-$F46)</f>
        <v/>
      </c>
      <c r="I46" s="16" t="str">
        <f>IF($A46="","",SUMIFS('Month-End Provisions'!$C$5:$C$1004,'Month-End Provisions'!$A$5:$A$1004,$A46,'Month-End Provisions'!$B$5:$B$1004,"&lt;="&amp;$B46))</f>
        <v/>
      </c>
      <c r="J46" s="15" t="str">
        <f>IF($A46="","",$C46-$I46)</f>
        <v/>
      </c>
    </row>
    <row r="47">
      <c r="A47" s="6" t="n"/>
      <c r="B47" s="12" t="n"/>
      <c r="C47" s="13" t="str">
        <f>IF($A47="","",IFERROR(INDEX('Matters Register'!$E$5:$E$44,MATCH($A47,'Matters Register'!$A$5:$A$44,0)),"?"))</f>
        <v/>
      </c>
      <c r="D47" s="14" t="n"/>
      <c r="E47" s="15" t="str">
        <f>IF(OR($A47="",$D47=""),"",$D47*$C47)</f>
        <v/>
      </c>
      <c r="F47" s="15" t="str">
        <f>IF($E47="","",$E47-SUMIFS($E$5:$E$64,$A$5:$A$64,$A47,$B$5:$B$64,"="&amp;_xlfn.MAXIFS($B$5:$B$64,$A$5:$A$64,$A47,$B$5:$B$64,"&lt;"&amp;$B47)))</f>
        <v/>
      </c>
      <c r="G47" s="16" t="str">
        <f>IF($A47="","",IF(COUNTIFS('Month-End Provisions'!$A$5:$A$1004,$A47,'Month-End Provisions'!$B$5:$B$1004,$B47)=0,"",SUMIFS('Month-End Provisions'!$C$5:$C$1004,'Month-End Provisions'!$A$5:$A$1004,$A47,'Month-End Provisions'!$B$5:$B$1004,$B47)))</f>
        <v/>
      </c>
      <c r="H47" s="17" t="str">
        <f>IF(OR($G47="",$F47=""),"",$G47-$F47)</f>
        <v/>
      </c>
      <c r="I47" s="16" t="str">
        <f>IF($A47="","",SUMIFS('Month-End Provisions'!$C$5:$C$1004,'Month-End Provisions'!$A$5:$A$1004,$A47,'Month-End Provisions'!$B$5:$B$1004,"&lt;="&amp;$B47))</f>
        <v/>
      </c>
      <c r="J47" s="15" t="str">
        <f>IF($A47="","",$C47-$I47)</f>
        <v/>
      </c>
    </row>
    <row r="48">
      <c r="A48" s="6" t="n"/>
      <c r="B48" s="12" t="n"/>
      <c r="C48" s="13" t="str">
        <f>IF($A48="","",IFERROR(INDEX('Matters Register'!$E$5:$E$44,MATCH($A48,'Matters Register'!$A$5:$A$44,0)),"?"))</f>
        <v/>
      </c>
      <c r="D48" s="14" t="n"/>
      <c r="E48" s="15" t="str">
        <f>IF(OR($A48="",$D48=""),"",$D48*$C48)</f>
        <v/>
      </c>
      <c r="F48" s="15" t="str">
        <f>IF($E48="","",$E48-SUMIFS($E$5:$E$64,$A$5:$A$64,$A48,$B$5:$B$64,"="&amp;_xlfn.MAXIFS($B$5:$B$64,$A$5:$A$64,$A48,$B$5:$B$64,"&lt;"&amp;$B48)))</f>
        <v/>
      </c>
      <c r="G48" s="16" t="str">
        <f>IF($A48="","",IF(COUNTIFS('Month-End Provisions'!$A$5:$A$1004,$A48,'Month-End Provisions'!$B$5:$B$1004,$B48)=0,"",SUMIFS('Month-End Provisions'!$C$5:$C$1004,'Month-End Provisions'!$A$5:$A$1004,$A48,'Month-End Provisions'!$B$5:$B$1004,$B48)))</f>
        <v/>
      </c>
      <c r="H48" s="17" t="str">
        <f>IF(OR($G48="",$F48=""),"",$G48-$F48)</f>
        <v/>
      </c>
      <c r="I48" s="16" t="str">
        <f>IF($A48="","",SUMIFS('Month-End Provisions'!$C$5:$C$1004,'Month-End Provisions'!$A$5:$A$1004,$A48,'Month-End Provisions'!$B$5:$B$1004,"&lt;="&amp;$B48))</f>
        <v/>
      </c>
      <c r="J48" s="15" t="str">
        <f>IF($A48="","",$C48-$I48)</f>
        <v/>
      </c>
    </row>
    <row r="49">
      <c r="A49" s="6" t="n"/>
      <c r="B49" s="12" t="n"/>
      <c r="C49" s="13" t="str">
        <f>IF($A49="","",IFERROR(INDEX('Matters Register'!$E$5:$E$44,MATCH($A49,'Matters Register'!$A$5:$A$44,0)),"?"))</f>
        <v/>
      </c>
      <c r="D49" s="14" t="n"/>
      <c r="E49" s="15" t="str">
        <f>IF(OR($A49="",$D49=""),"",$D49*$C49)</f>
        <v/>
      </c>
      <c r="F49" s="15" t="str">
        <f>IF($E49="","",$E49-SUMIFS($E$5:$E$64,$A$5:$A$64,$A49,$B$5:$B$64,"="&amp;_xlfn.MAXIFS($B$5:$B$64,$A$5:$A$64,$A49,$B$5:$B$64,"&lt;"&amp;$B49)))</f>
        <v/>
      </c>
      <c r="G49" s="16" t="str">
        <f>IF($A49="","",IF(COUNTIFS('Month-End Provisions'!$A$5:$A$1004,$A49,'Month-End Provisions'!$B$5:$B$1004,$B49)=0,"",SUMIFS('Month-End Provisions'!$C$5:$C$1004,'Month-End Provisions'!$A$5:$A$1004,$A49,'Month-End Provisions'!$B$5:$B$1004,$B49)))</f>
        <v/>
      </c>
      <c r="H49" s="17" t="str">
        <f>IF(OR($G49="",$F49=""),"",$G49-$F49)</f>
        <v/>
      </c>
      <c r="I49" s="16" t="str">
        <f>IF($A49="","",SUMIFS('Month-End Provisions'!$C$5:$C$1004,'Month-End Provisions'!$A$5:$A$1004,$A49,'Month-End Provisions'!$B$5:$B$1004,"&lt;="&amp;$B49))</f>
        <v/>
      </c>
      <c r="J49" s="15" t="str">
        <f>IF($A49="","",$C49-$I49)</f>
        <v/>
      </c>
    </row>
    <row r="50">
      <c r="A50" s="6" t="n"/>
      <c r="B50" s="12" t="n"/>
      <c r="C50" s="13" t="str">
        <f>IF($A50="","",IFERROR(INDEX('Matters Register'!$E$5:$E$44,MATCH($A50,'Matters Register'!$A$5:$A$44,0)),"?"))</f>
        <v/>
      </c>
      <c r="D50" s="14" t="n"/>
      <c r="E50" s="15" t="str">
        <f>IF(OR($A50="",$D50=""),"",$D50*$C50)</f>
        <v/>
      </c>
      <c r="F50" s="15" t="str">
        <f>IF($E50="","",$E50-SUMIFS($E$5:$E$64,$A$5:$A$64,$A50,$B$5:$B$64,"="&amp;_xlfn.MAXIFS($B$5:$B$64,$A$5:$A$64,$A50,$B$5:$B$64,"&lt;"&amp;$B50)))</f>
        <v/>
      </c>
      <c r="G50" s="16" t="str">
        <f>IF($A50="","",IF(COUNTIFS('Month-End Provisions'!$A$5:$A$1004,$A50,'Month-End Provisions'!$B$5:$B$1004,$B50)=0,"",SUMIFS('Month-End Provisions'!$C$5:$C$1004,'Month-End Provisions'!$A$5:$A$1004,$A50,'Month-End Provisions'!$B$5:$B$1004,$B50)))</f>
        <v/>
      </c>
      <c r="H50" s="17" t="str">
        <f>IF(OR($G50="",$F50=""),"",$G50-$F50)</f>
        <v/>
      </c>
      <c r="I50" s="16" t="str">
        <f>IF($A50="","",SUMIFS('Month-End Provisions'!$C$5:$C$1004,'Month-End Provisions'!$A$5:$A$1004,$A50,'Month-End Provisions'!$B$5:$B$1004,"&lt;="&amp;$B50))</f>
        <v/>
      </c>
      <c r="J50" s="15" t="str">
        <f>IF($A50="","",$C50-$I50)</f>
        <v/>
      </c>
    </row>
    <row r="51">
      <c r="A51" s="6" t="n"/>
      <c r="B51" s="12" t="n"/>
      <c r="C51" s="13" t="str">
        <f>IF($A51="","",IFERROR(INDEX('Matters Register'!$E$5:$E$44,MATCH($A51,'Matters Register'!$A$5:$A$44,0)),"?"))</f>
        <v/>
      </c>
      <c r="D51" s="14" t="n"/>
      <c r="E51" s="15" t="str">
        <f>IF(OR($A51="",$D51=""),"",$D51*$C51)</f>
        <v/>
      </c>
      <c r="F51" s="15" t="str">
        <f>IF($E51="","",$E51-SUMIFS($E$5:$E$64,$A$5:$A$64,$A51,$B$5:$B$64,"="&amp;_xlfn.MAXIFS($B$5:$B$64,$A$5:$A$64,$A51,$B$5:$B$64,"&lt;"&amp;$B51)))</f>
        <v/>
      </c>
      <c r="G51" s="16" t="str">
        <f>IF($A51="","",IF(COUNTIFS('Month-End Provisions'!$A$5:$A$1004,$A51,'Month-End Provisions'!$B$5:$B$1004,$B51)=0,"",SUMIFS('Month-End Provisions'!$C$5:$C$1004,'Month-End Provisions'!$A$5:$A$1004,$A51,'Month-End Provisions'!$B$5:$B$1004,$B51)))</f>
        <v/>
      </c>
      <c r="H51" s="17" t="str">
        <f>IF(OR($G51="",$F51=""),"",$G51-$F51)</f>
        <v/>
      </c>
      <c r="I51" s="16" t="str">
        <f>IF($A51="","",SUMIFS('Month-End Provisions'!$C$5:$C$1004,'Month-End Provisions'!$A$5:$A$1004,$A51,'Month-End Provisions'!$B$5:$B$1004,"&lt;="&amp;$B51))</f>
        <v/>
      </c>
      <c r="J51" s="15" t="str">
        <f>IF($A51="","",$C51-$I51)</f>
        <v/>
      </c>
    </row>
    <row r="52">
      <c r="A52" s="6" t="n"/>
      <c r="B52" s="12" t="n"/>
      <c r="C52" s="13" t="str">
        <f>IF($A52="","",IFERROR(INDEX('Matters Register'!$E$5:$E$44,MATCH($A52,'Matters Register'!$A$5:$A$44,0)),"?"))</f>
        <v/>
      </c>
      <c r="D52" s="14" t="n"/>
      <c r="E52" s="15" t="str">
        <f>IF(OR($A52="",$D52=""),"",$D52*$C52)</f>
        <v/>
      </c>
      <c r="F52" s="15" t="str">
        <f>IF($E52="","",$E52-SUMIFS($E$5:$E$64,$A$5:$A$64,$A52,$B$5:$B$64,"="&amp;_xlfn.MAXIFS($B$5:$B$64,$A$5:$A$64,$A52,$B$5:$B$64,"&lt;"&amp;$B52)))</f>
        <v/>
      </c>
      <c r="G52" s="16" t="str">
        <f>IF($A52="","",IF(COUNTIFS('Month-End Provisions'!$A$5:$A$1004,$A52,'Month-End Provisions'!$B$5:$B$1004,$B52)=0,"",SUMIFS('Month-End Provisions'!$C$5:$C$1004,'Month-End Provisions'!$A$5:$A$1004,$A52,'Month-End Provisions'!$B$5:$B$1004,$B52)))</f>
        <v/>
      </c>
      <c r="H52" s="17" t="str">
        <f>IF(OR($G52="",$F52=""),"",$G52-$F52)</f>
        <v/>
      </c>
      <c r="I52" s="16" t="str">
        <f>IF($A52="","",SUMIFS('Month-End Provisions'!$C$5:$C$1004,'Month-End Provisions'!$A$5:$A$1004,$A52,'Month-End Provisions'!$B$5:$B$1004,"&lt;="&amp;$B52))</f>
        <v/>
      </c>
      <c r="J52" s="15" t="str">
        <f>IF($A52="","",$C52-$I52)</f>
        <v/>
      </c>
    </row>
    <row r="53">
      <c r="A53" s="6" t="n"/>
      <c r="B53" s="12" t="n"/>
      <c r="C53" s="13" t="str">
        <f>IF($A53="","",IFERROR(INDEX('Matters Register'!$E$5:$E$44,MATCH($A53,'Matters Register'!$A$5:$A$44,0)),"?"))</f>
        <v/>
      </c>
      <c r="D53" s="14" t="n"/>
      <c r="E53" s="15" t="str">
        <f>IF(OR($A53="",$D53=""),"",$D53*$C53)</f>
        <v/>
      </c>
      <c r="F53" s="15" t="str">
        <f>IF($E53="","",$E53-SUMIFS($E$5:$E$64,$A$5:$A$64,$A53,$B$5:$B$64,"="&amp;_xlfn.MAXIFS($B$5:$B$64,$A$5:$A$64,$A53,$B$5:$B$64,"&lt;"&amp;$B53)))</f>
        <v/>
      </c>
      <c r="G53" s="16" t="str">
        <f>IF($A53="","",IF(COUNTIFS('Month-End Provisions'!$A$5:$A$1004,$A53,'Month-End Provisions'!$B$5:$B$1004,$B53)=0,"",SUMIFS('Month-End Provisions'!$C$5:$C$1004,'Month-End Provisions'!$A$5:$A$1004,$A53,'Month-End Provisions'!$B$5:$B$1004,$B53)))</f>
        <v/>
      </c>
      <c r="H53" s="17" t="str">
        <f>IF(OR($G53="",$F53=""),"",$G53-$F53)</f>
        <v/>
      </c>
      <c r="I53" s="16" t="str">
        <f>IF($A53="","",SUMIFS('Month-End Provisions'!$C$5:$C$1004,'Month-End Provisions'!$A$5:$A$1004,$A53,'Month-End Provisions'!$B$5:$B$1004,"&lt;="&amp;$B53))</f>
        <v/>
      </c>
      <c r="J53" s="15" t="str">
        <f>IF($A53="","",$C53-$I53)</f>
        <v/>
      </c>
    </row>
    <row r="54">
      <c r="A54" s="6" t="n"/>
      <c r="B54" s="12" t="n"/>
      <c r="C54" s="13" t="str">
        <f>IF($A54="","",IFERROR(INDEX('Matters Register'!$E$5:$E$44,MATCH($A54,'Matters Register'!$A$5:$A$44,0)),"?"))</f>
        <v/>
      </c>
      <c r="D54" s="14" t="n"/>
      <c r="E54" s="15" t="str">
        <f>IF(OR($A54="",$D54=""),"",$D54*$C54)</f>
        <v/>
      </c>
      <c r="F54" s="15" t="str">
        <f>IF($E54="","",$E54-SUMIFS($E$5:$E$64,$A$5:$A$64,$A54,$B$5:$B$64,"="&amp;_xlfn.MAXIFS($B$5:$B$64,$A$5:$A$64,$A54,$B$5:$B$64,"&lt;"&amp;$B54)))</f>
        <v/>
      </c>
      <c r="G54" s="16" t="str">
        <f>IF($A54="","",IF(COUNTIFS('Month-End Provisions'!$A$5:$A$1004,$A54,'Month-End Provisions'!$B$5:$B$1004,$B54)=0,"",SUMIFS('Month-End Provisions'!$C$5:$C$1004,'Month-End Provisions'!$A$5:$A$1004,$A54,'Month-End Provisions'!$B$5:$B$1004,$B54)))</f>
        <v/>
      </c>
      <c r="H54" s="17" t="str">
        <f>IF(OR($G54="",$F54=""),"",$G54-$F54)</f>
        <v/>
      </c>
      <c r="I54" s="16" t="str">
        <f>IF($A54="","",SUMIFS('Month-End Provisions'!$C$5:$C$1004,'Month-End Provisions'!$A$5:$A$1004,$A54,'Month-End Provisions'!$B$5:$B$1004,"&lt;="&amp;$B54))</f>
        <v/>
      </c>
      <c r="J54" s="15" t="str">
        <f>IF($A54="","",$C54-$I54)</f>
        <v/>
      </c>
    </row>
    <row r="55">
      <c r="A55" s="6" t="n"/>
      <c r="B55" s="12" t="n"/>
      <c r="C55" s="13" t="str">
        <f>IF($A55="","",IFERROR(INDEX('Matters Register'!$E$5:$E$44,MATCH($A55,'Matters Register'!$A$5:$A$44,0)),"?"))</f>
        <v/>
      </c>
      <c r="D55" s="14" t="n"/>
      <c r="E55" s="15" t="str">
        <f>IF(OR($A55="",$D55=""),"",$D55*$C55)</f>
        <v/>
      </c>
      <c r="F55" s="15" t="str">
        <f>IF($E55="","",$E55-SUMIFS($E$5:$E$64,$A$5:$A$64,$A55,$B$5:$B$64,"="&amp;_xlfn.MAXIFS($B$5:$B$64,$A$5:$A$64,$A55,$B$5:$B$64,"&lt;"&amp;$B55)))</f>
        <v/>
      </c>
      <c r="G55" s="16" t="str">
        <f>IF($A55="","",IF(COUNTIFS('Month-End Provisions'!$A$5:$A$1004,$A55,'Month-End Provisions'!$B$5:$B$1004,$B55)=0,"",SUMIFS('Month-End Provisions'!$C$5:$C$1004,'Month-End Provisions'!$A$5:$A$1004,$A55,'Month-End Provisions'!$B$5:$B$1004,$B55)))</f>
        <v/>
      </c>
      <c r="H55" s="17" t="str">
        <f>IF(OR($G55="",$F55=""),"",$G55-$F55)</f>
        <v/>
      </c>
      <c r="I55" s="16" t="str">
        <f>IF($A55="","",SUMIFS('Month-End Provisions'!$C$5:$C$1004,'Month-End Provisions'!$A$5:$A$1004,$A55,'Month-End Provisions'!$B$5:$B$1004,"&lt;="&amp;$B55))</f>
        <v/>
      </c>
      <c r="J55" s="15" t="str">
        <f>IF($A55="","",$C55-$I55)</f>
        <v/>
      </c>
    </row>
    <row r="56">
      <c r="A56" s="6" t="n"/>
      <c r="B56" s="12" t="n"/>
      <c r="C56" s="13" t="str">
        <f>IF($A56="","",IFERROR(INDEX('Matters Register'!$E$5:$E$44,MATCH($A56,'Matters Register'!$A$5:$A$44,0)),"?"))</f>
        <v/>
      </c>
      <c r="D56" s="14" t="n"/>
      <c r="E56" s="15" t="str">
        <f>IF(OR($A56="",$D56=""),"",$D56*$C56)</f>
        <v/>
      </c>
      <c r="F56" s="15" t="str">
        <f>IF($E56="","",$E56-SUMIFS($E$5:$E$64,$A$5:$A$64,$A56,$B$5:$B$64,"="&amp;_xlfn.MAXIFS($B$5:$B$64,$A$5:$A$64,$A56,$B$5:$B$64,"&lt;"&amp;$B56)))</f>
        <v/>
      </c>
      <c r="G56" s="16" t="str">
        <f>IF($A56="","",IF(COUNTIFS('Month-End Provisions'!$A$5:$A$1004,$A56,'Month-End Provisions'!$B$5:$B$1004,$B56)=0,"",SUMIFS('Month-End Provisions'!$C$5:$C$1004,'Month-End Provisions'!$A$5:$A$1004,$A56,'Month-End Provisions'!$B$5:$B$1004,$B56)))</f>
        <v/>
      </c>
      <c r="H56" s="17" t="str">
        <f>IF(OR($G56="",$F56=""),"",$G56-$F56)</f>
        <v/>
      </c>
      <c r="I56" s="16" t="str">
        <f>IF($A56="","",SUMIFS('Month-End Provisions'!$C$5:$C$1004,'Month-End Provisions'!$A$5:$A$1004,$A56,'Month-End Provisions'!$B$5:$B$1004,"&lt;="&amp;$B56))</f>
        <v/>
      </c>
      <c r="J56" s="15" t="str">
        <f>IF($A56="","",$C56-$I56)</f>
        <v/>
      </c>
    </row>
    <row r="57">
      <c r="A57" s="6" t="n"/>
      <c r="B57" s="12" t="n"/>
      <c r="C57" s="13" t="str">
        <f>IF($A57="","",IFERROR(INDEX('Matters Register'!$E$5:$E$44,MATCH($A57,'Matters Register'!$A$5:$A$44,0)),"?"))</f>
        <v/>
      </c>
      <c r="D57" s="14" t="n"/>
      <c r="E57" s="15" t="str">
        <f>IF(OR($A57="",$D57=""),"",$D57*$C57)</f>
        <v/>
      </c>
      <c r="F57" s="15" t="str">
        <f>IF($E57="","",$E57-SUMIFS($E$5:$E$64,$A$5:$A$64,$A57,$B$5:$B$64,"="&amp;_xlfn.MAXIFS($B$5:$B$64,$A$5:$A$64,$A57,$B$5:$B$64,"&lt;"&amp;$B57)))</f>
        <v/>
      </c>
      <c r="G57" s="16" t="str">
        <f>IF($A57="","",IF(COUNTIFS('Month-End Provisions'!$A$5:$A$1004,$A57,'Month-End Provisions'!$B$5:$B$1004,$B57)=0,"",SUMIFS('Month-End Provisions'!$C$5:$C$1004,'Month-End Provisions'!$A$5:$A$1004,$A57,'Month-End Provisions'!$B$5:$B$1004,$B57)))</f>
        <v/>
      </c>
      <c r="H57" s="17" t="str">
        <f>IF(OR($G57="",$F57=""),"",$G57-$F57)</f>
        <v/>
      </c>
      <c r="I57" s="16" t="str">
        <f>IF($A57="","",SUMIFS('Month-End Provisions'!$C$5:$C$1004,'Month-End Provisions'!$A$5:$A$1004,$A57,'Month-End Provisions'!$B$5:$B$1004,"&lt;="&amp;$B57))</f>
        <v/>
      </c>
      <c r="J57" s="15" t="str">
        <f>IF($A57="","",$C57-$I57)</f>
        <v/>
      </c>
    </row>
    <row r="58">
      <c r="A58" s="6" t="n"/>
      <c r="B58" s="12" t="n"/>
      <c r="C58" s="13" t="str">
        <f>IF($A58="","",IFERROR(INDEX('Matters Register'!$E$5:$E$44,MATCH($A58,'Matters Register'!$A$5:$A$44,0)),"?"))</f>
        <v/>
      </c>
      <c r="D58" s="14" t="n"/>
      <c r="E58" s="15" t="str">
        <f>IF(OR($A58="",$D58=""),"",$D58*$C58)</f>
        <v/>
      </c>
      <c r="F58" s="15" t="str">
        <f>IF($E58="","",$E58-SUMIFS($E$5:$E$64,$A$5:$A$64,$A58,$B$5:$B$64,"="&amp;_xlfn.MAXIFS($B$5:$B$64,$A$5:$A$64,$A58,$B$5:$B$64,"&lt;"&amp;$B58)))</f>
        <v/>
      </c>
      <c r="G58" s="16" t="str">
        <f>IF($A58="","",IF(COUNTIFS('Month-End Provisions'!$A$5:$A$1004,$A58,'Month-End Provisions'!$B$5:$B$1004,$B58)=0,"",SUMIFS('Month-End Provisions'!$C$5:$C$1004,'Month-End Provisions'!$A$5:$A$1004,$A58,'Month-End Provisions'!$B$5:$B$1004,$B58)))</f>
        <v/>
      </c>
      <c r="H58" s="17" t="str">
        <f>IF(OR($G58="",$F58=""),"",$G58-$F58)</f>
        <v/>
      </c>
      <c r="I58" s="16" t="str">
        <f>IF($A58="","",SUMIFS('Month-End Provisions'!$C$5:$C$1004,'Month-End Provisions'!$A$5:$A$1004,$A58,'Month-End Provisions'!$B$5:$B$1004,"&lt;="&amp;$B58))</f>
        <v/>
      </c>
      <c r="J58" s="15" t="str">
        <f>IF($A58="","",$C58-$I58)</f>
        <v/>
      </c>
    </row>
    <row r="59">
      <c r="A59" s="6" t="n"/>
      <c r="B59" s="12" t="n"/>
      <c r="C59" s="13" t="str">
        <f>IF($A59="","",IFERROR(INDEX('Matters Register'!$E$5:$E$44,MATCH($A59,'Matters Register'!$A$5:$A$44,0)),"?"))</f>
        <v/>
      </c>
      <c r="D59" s="14" t="n"/>
      <c r="E59" s="15" t="str">
        <f>IF(OR($A59="",$D59=""),"",$D59*$C59)</f>
        <v/>
      </c>
      <c r="F59" s="15" t="str">
        <f>IF($E59="","",$E59-SUMIFS($E$5:$E$64,$A$5:$A$64,$A59,$B$5:$B$64,"="&amp;_xlfn.MAXIFS($B$5:$B$64,$A$5:$A$64,$A59,$B$5:$B$64,"&lt;"&amp;$B59)))</f>
        <v/>
      </c>
      <c r="G59" s="16" t="str">
        <f>IF($A59="","",IF(COUNTIFS('Month-End Provisions'!$A$5:$A$1004,$A59,'Month-End Provisions'!$B$5:$B$1004,$B59)=0,"",SUMIFS('Month-End Provisions'!$C$5:$C$1004,'Month-End Provisions'!$A$5:$A$1004,$A59,'Month-End Provisions'!$B$5:$B$1004,$B59)))</f>
        <v/>
      </c>
      <c r="H59" s="17" t="str">
        <f>IF(OR($G59="",$F59=""),"",$G59-$F59)</f>
        <v/>
      </c>
      <c r="I59" s="16" t="str">
        <f>IF($A59="","",SUMIFS('Month-End Provisions'!$C$5:$C$1004,'Month-End Provisions'!$A$5:$A$1004,$A59,'Month-End Provisions'!$B$5:$B$1004,"&lt;="&amp;$B59))</f>
        <v/>
      </c>
      <c r="J59" s="15" t="str">
        <f>IF($A59="","",$C59-$I59)</f>
        <v/>
      </c>
    </row>
    <row r="60">
      <c r="A60" s="6" t="n"/>
      <c r="B60" s="12" t="n"/>
      <c r="C60" s="13" t="str">
        <f>IF($A60="","",IFERROR(INDEX('Matters Register'!$E$5:$E$44,MATCH($A60,'Matters Register'!$A$5:$A$44,0)),"?"))</f>
        <v/>
      </c>
      <c r="D60" s="14" t="n"/>
      <c r="E60" s="15" t="str">
        <f>IF(OR($A60="",$D60=""),"",$D60*$C60)</f>
        <v/>
      </c>
      <c r="F60" s="15" t="str">
        <f>IF($E60="","",$E60-SUMIFS($E$5:$E$64,$A$5:$A$64,$A60,$B$5:$B$64,"="&amp;_xlfn.MAXIFS($B$5:$B$64,$A$5:$A$64,$A60,$B$5:$B$64,"&lt;"&amp;$B60)))</f>
        <v/>
      </c>
      <c r="G60" s="16" t="str">
        <f>IF($A60="","",IF(COUNTIFS('Month-End Provisions'!$A$5:$A$1004,$A60,'Month-End Provisions'!$B$5:$B$1004,$B60)=0,"",SUMIFS('Month-End Provisions'!$C$5:$C$1004,'Month-End Provisions'!$A$5:$A$1004,$A60,'Month-End Provisions'!$B$5:$B$1004,$B60)))</f>
        <v/>
      </c>
      <c r="H60" s="17" t="str">
        <f>IF(OR($G60="",$F60=""),"",$G60-$F60)</f>
        <v/>
      </c>
      <c r="I60" s="16" t="str">
        <f>IF($A60="","",SUMIFS('Month-End Provisions'!$C$5:$C$1004,'Month-End Provisions'!$A$5:$A$1004,$A60,'Month-End Provisions'!$B$5:$B$1004,"&lt;="&amp;$B60))</f>
        <v/>
      </c>
      <c r="J60" s="15" t="str">
        <f>IF($A60="","",$C60-$I60)</f>
        <v/>
      </c>
    </row>
    <row r="61">
      <c r="A61" s="6" t="n"/>
      <c r="B61" s="12" t="n"/>
      <c r="C61" s="13" t="str">
        <f>IF($A61="","",IFERROR(INDEX('Matters Register'!$E$5:$E$44,MATCH($A61,'Matters Register'!$A$5:$A$44,0)),"?"))</f>
        <v/>
      </c>
      <c r="D61" s="14" t="n"/>
      <c r="E61" s="15" t="str">
        <f>IF(OR($A61="",$D61=""),"",$D61*$C61)</f>
        <v/>
      </c>
      <c r="F61" s="15" t="str">
        <f>IF($E61="","",$E61-SUMIFS($E$5:$E$64,$A$5:$A$64,$A61,$B$5:$B$64,"="&amp;_xlfn.MAXIFS($B$5:$B$64,$A$5:$A$64,$A61,$B$5:$B$64,"&lt;"&amp;$B61)))</f>
        <v/>
      </c>
      <c r="G61" s="16" t="str">
        <f>IF($A61="","",IF(COUNTIFS('Month-End Provisions'!$A$5:$A$1004,$A61,'Month-End Provisions'!$B$5:$B$1004,$B61)=0,"",SUMIFS('Month-End Provisions'!$C$5:$C$1004,'Month-End Provisions'!$A$5:$A$1004,$A61,'Month-End Provisions'!$B$5:$B$1004,$B61)))</f>
        <v/>
      </c>
      <c r="H61" s="17" t="str">
        <f>IF(OR($G61="",$F61=""),"",$G61-$F61)</f>
        <v/>
      </c>
      <c r="I61" s="16" t="str">
        <f>IF($A61="","",SUMIFS('Month-End Provisions'!$C$5:$C$1004,'Month-End Provisions'!$A$5:$A$1004,$A61,'Month-End Provisions'!$B$5:$B$1004,"&lt;="&amp;$B61))</f>
        <v/>
      </c>
      <c r="J61" s="15" t="str">
        <f>IF($A61="","",$C61-$I61)</f>
        <v/>
      </c>
    </row>
    <row r="62">
      <c r="A62" s="6" t="n"/>
      <c r="B62" s="12" t="n"/>
      <c r="C62" s="13" t="str">
        <f>IF($A62="","",IFERROR(INDEX('Matters Register'!$E$5:$E$44,MATCH($A62,'Matters Register'!$A$5:$A$44,0)),"?"))</f>
        <v/>
      </c>
      <c r="D62" s="14" t="n"/>
      <c r="E62" s="15" t="str">
        <f>IF(OR($A62="",$D62=""),"",$D62*$C62)</f>
        <v/>
      </c>
      <c r="F62" s="15" t="str">
        <f>IF($E62="","",$E62-SUMIFS($E$5:$E$64,$A$5:$A$64,$A62,$B$5:$B$64,"="&amp;_xlfn.MAXIFS($B$5:$B$64,$A$5:$A$64,$A62,$B$5:$B$64,"&lt;"&amp;$B62)))</f>
        <v/>
      </c>
      <c r="G62" s="16" t="str">
        <f>IF($A62="","",IF(COUNTIFS('Month-End Provisions'!$A$5:$A$1004,$A62,'Month-End Provisions'!$B$5:$B$1004,$B62)=0,"",SUMIFS('Month-End Provisions'!$C$5:$C$1004,'Month-End Provisions'!$A$5:$A$1004,$A62,'Month-End Provisions'!$B$5:$B$1004,$B62)))</f>
        <v/>
      </c>
      <c r="H62" s="17" t="str">
        <f>IF(OR($G62="",$F62=""),"",$G62-$F62)</f>
        <v/>
      </c>
      <c r="I62" s="16" t="str">
        <f>IF($A62="","",SUMIFS('Month-End Provisions'!$C$5:$C$1004,'Month-End Provisions'!$A$5:$A$1004,$A62,'Month-End Provisions'!$B$5:$B$1004,"&lt;="&amp;$B62))</f>
        <v/>
      </c>
      <c r="J62" s="15" t="str">
        <f>IF($A62="","",$C62-$I62)</f>
        <v/>
      </c>
    </row>
    <row r="63">
      <c r="A63" s="6" t="n"/>
      <c r="B63" s="12" t="n"/>
      <c r="C63" s="13" t="str">
        <f>IF($A63="","",IFERROR(INDEX('Matters Register'!$E$5:$E$44,MATCH($A63,'Matters Register'!$A$5:$A$44,0)),"?"))</f>
        <v/>
      </c>
      <c r="D63" s="14" t="n"/>
      <c r="E63" s="15" t="str">
        <f>IF(OR($A63="",$D63=""),"",$D63*$C63)</f>
        <v/>
      </c>
      <c r="F63" s="15" t="str">
        <f>IF($E63="","",$E63-SUMIFS($E$5:$E$64,$A$5:$A$64,$A63,$B$5:$B$64,"="&amp;_xlfn.MAXIFS($B$5:$B$64,$A$5:$A$64,$A63,$B$5:$B$64,"&lt;"&amp;$B63)))</f>
        <v/>
      </c>
      <c r="G63" s="16" t="str">
        <f>IF($A63="","",IF(COUNTIFS('Month-End Provisions'!$A$5:$A$1004,$A63,'Month-End Provisions'!$B$5:$B$1004,$B63)=0,"",SUMIFS('Month-End Provisions'!$C$5:$C$1004,'Month-End Provisions'!$A$5:$A$1004,$A63,'Month-End Provisions'!$B$5:$B$1004,$B63)))</f>
        <v/>
      </c>
      <c r="H63" s="17" t="str">
        <f>IF(OR($G63="",$F63=""),"",$G63-$F63)</f>
        <v/>
      </c>
      <c r="I63" s="16" t="str">
        <f>IF($A63="","",SUMIFS('Month-End Provisions'!$C$5:$C$1004,'Month-End Provisions'!$A$5:$A$1004,$A63,'Month-End Provisions'!$B$5:$B$1004,"&lt;="&amp;$B63))</f>
        <v/>
      </c>
      <c r="J63" s="15" t="str">
        <f>IF($A63="","",$C63-$I63)</f>
        <v/>
      </c>
    </row>
    <row r="64">
      <c r="A64" s="6" t="n"/>
      <c r="B64" s="12" t="n"/>
      <c r="C64" s="13" t="str">
        <f>IF($A64="","",IFERROR(INDEX('Matters Register'!$E$5:$E$44,MATCH($A64,'Matters Register'!$A$5:$A$44,0)),"?"))</f>
        <v/>
      </c>
      <c r="D64" s="14" t="n"/>
      <c r="E64" s="15" t="str">
        <f>IF(OR($A64="",$D64=""),"",$D64*$C64)</f>
        <v/>
      </c>
      <c r="F64" s="15" t="str">
        <f>IF($E64="","",$E64-SUMIFS($E$5:$E$64,$A$5:$A$64,$A64,$B$5:$B$64,"="&amp;_xlfn.MAXIFS($B$5:$B$64,$A$5:$A$64,$A64,$B$5:$B$64,"&lt;"&amp;$B64)))</f>
        <v/>
      </c>
      <c r="G64" s="16" t="str">
        <f>IF($A64="","",IF(COUNTIFS('Month-End Provisions'!$A$5:$A$1004,$A64,'Month-End Provisions'!$B$5:$B$1004,$B64)=0,"",SUMIFS('Month-End Provisions'!$C$5:$C$1004,'Month-End Provisions'!$A$5:$A$1004,$A64,'Month-End Provisions'!$B$5:$B$1004,$B64)))</f>
        <v/>
      </c>
      <c r="H64" s="17" t="str">
        <f>IF(OR($G64="",$F64=""),"",$G64-$F64)</f>
        <v/>
      </c>
      <c r="I64" s="16" t="str">
        <f>IF($A64="","",SUMIFS('Month-End Provisions'!$C$5:$C$1004,'Month-End Provisions'!$A$5:$A$1004,$A64,'Month-End Provisions'!$B$5:$B$1004,"&lt;="&amp;$B64))</f>
        <v/>
      </c>
      <c r="J64" s="15" t="str">
        <f>IF($A64="","",$C64-$I64)</f>
        <v/>
      </c>
    </row>
  </sheetData>
  <conditionalFormatting sqref="H5:H64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J5:J64">
    <cfRule type="cellIs" priority="3" operator="lessThan" dxfId="0">
      <formula>0</formula>
    </cfRule>
  </conditionalFormatting>
  <dataValidations count="2">
    <dataValidation sqref="A5:A64" showDropDown="0" showInputMessage="0" showErrorMessage="0" allowBlank="1" type="list">
      <formula1>='Matters Register'!$A$5:$A$44</formula1>
    </dataValidation>
    <dataValidation sqref="D5:D64" showDropDown="0" showInputMessage="0" showErrorMessage="0" allowBlank="1" errorTitle="% complete" error="Enter cumulative % complete as a fraction between 0 and 1 (e.g. 0.25 for 25%)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</cols>
  <sheetData>
    <row r="1">
      <c r="A1" s="1" t="inlineStr">
        <is>
          <t>Month-End Provisions (Net Fee Income)</t>
        </is>
      </c>
    </row>
    <row r="2">
      <c r="A2" s="2" t="inlineStr">
        <is>
          <t>Paste your monthly NFI provisions extract here. The Forecast Log pulls actuals from this tab by Matter Code + Month.</t>
        </is>
      </c>
    </row>
    <row r="4">
      <c r="A4" s="5" t="inlineStr">
        <is>
          <t>Matter Code</t>
        </is>
      </c>
      <c r="B4" s="5" t="inlineStr">
        <is>
          <t>Month</t>
        </is>
      </c>
      <c r="C4" s="5" t="inlineStr">
        <is>
          <t>NFI Amount (£)</t>
        </is>
      </c>
    </row>
    <row r="5">
      <c r="A5" s="6" t="inlineStr">
        <is>
          <t>M-1001</t>
        </is>
      </c>
      <c r="B5" s="12" t="n">
        <v>46266</v>
      </c>
      <c r="C5" s="8" t="n">
        <v>12000</v>
      </c>
    </row>
    <row r="6">
      <c r="A6" s="6" t="inlineStr">
        <is>
          <t>M-1001</t>
        </is>
      </c>
      <c r="B6" s="12" t="n">
        <v>46296</v>
      </c>
      <c r="C6" s="8" t="n">
        <v>15000</v>
      </c>
    </row>
    <row r="7">
      <c r="A7" s="6" t="inlineStr">
        <is>
          <t>M-1001</t>
        </is>
      </c>
      <c r="B7" s="12" t="n">
        <v>46327</v>
      </c>
      <c r="C7" s="8" t="n">
        <v>26000</v>
      </c>
    </row>
    <row r="8">
      <c r="A8" s="6" t="inlineStr">
        <is>
          <t>M-1002</t>
        </is>
      </c>
      <c r="B8" s="12" t="n">
        <v>46296</v>
      </c>
      <c r="C8" s="8" t="n">
        <v>13500</v>
      </c>
    </row>
    <row r="9">
      <c r="A9" s="6" t="inlineStr">
        <is>
          <t>M-1003</t>
        </is>
      </c>
      <c r="B9" s="12" t="n">
        <v>46266</v>
      </c>
      <c r="C9" s="8" t="n">
        <v>12000</v>
      </c>
    </row>
    <row r="10">
      <c r="A10" s="6" t="inlineStr">
        <is>
          <t>M-1003</t>
        </is>
      </c>
      <c r="B10" s="12" t="n">
        <v>46296</v>
      </c>
      <c r="C10" s="8" t="n">
        <v>11000</v>
      </c>
    </row>
    <row r="11">
      <c r="A11" s="7" t="n"/>
      <c r="B11" s="18" t="n"/>
      <c r="C11" s="8" t="n"/>
    </row>
    <row r="12">
      <c r="A12" s="7" t="n"/>
      <c r="B12" s="18" t="n"/>
      <c r="C12" s="8" t="n"/>
    </row>
    <row r="13">
      <c r="A13" s="7" t="n"/>
      <c r="B13" s="18" t="n"/>
      <c r="C13" s="8" t="n"/>
    </row>
    <row r="14">
      <c r="A14" s="7" t="n"/>
      <c r="B14" s="18" t="n"/>
      <c r="C14" s="8" t="n"/>
    </row>
    <row r="15">
      <c r="A15" s="7" t="n"/>
      <c r="B15" s="18" t="n"/>
      <c r="C15" s="8" t="n"/>
    </row>
    <row r="16">
      <c r="A16" s="7" t="n"/>
      <c r="B16" s="18" t="n"/>
      <c r="C16" s="8" t="n"/>
    </row>
    <row r="17">
      <c r="A17" s="7" t="n"/>
      <c r="B17" s="18" t="n"/>
      <c r="C17" s="8" t="n"/>
    </row>
    <row r="18">
      <c r="A18" s="7" t="n"/>
      <c r="B18" s="18" t="n"/>
      <c r="C18" s="8" t="n"/>
    </row>
    <row r="19">
      <c r="A19" s="7" t="n"/>
      <c r="B19" s="18" t="n"/>
      <c r="C19" s="8" t="n"/>
    </row>
    <row r="20">
      <c r="A20" s="7" t="n"/>
      <c r="B20" s="18" t="n"/>
      <c r="C20" s="8" t="n"/>
    </row>
    <row r="21">
      <c r="A21" s="7" t="n"/>
      <c r="B21" s="18" t="n"/>
      <c r="C21" s="8" t="n"/>
    </row>
    <row r="22">
      <c r="A22" s="7" t="n"/>
      <c r="B22" s="18" t="n"/>
      <c r="C22" s="8" t="n"/>
    </row>
    <row r="23">
      <c r="A23" s="7" t="n"/>
      <c r="B23" s="18" t="n"/>
      <c r="C23" s="8" t="n"/>
    </row>
    <row r="24">
      <c r="A24" s="7" t="n"/>
      <c r="B24" s="18" t="n"/>
      <c r="C24" s="8" t="n"/>
    </row>
    <row r="25">
      <c r="A25" s="7" t="n"/>
      <c r="B25" s="18" t="n"/>
      <c r="C25" s="8" t="n"/>
    </row>
    <row r="26">
      <c r="A26" s="7" t="n"/>
      <c r="B26" s="18" t="n"/>
      <c r="C26" s="8" t="n"/>
    </row>
    <row r="27">
      <c r="A27" s="7" t="n"/>
      <c r="B27" s="18" t="n"/>
      <c r="C27" s="8" t="n"/>
    </row>
    <row r="28">
      <c r="A28" s="7" t="n"/>
      <c r="B28" s="18" t="n"/>
      <c r="C28" s="8" t="n"/>
    </row>
  </sheetData>
  <dataValidations count="1">
    <dataValidation sqref="A5:A28" showDropDown="0" showInputMessage="0" showErrorMessage="0" allowBlank="1" type="list">
      <formula1>='Matters Register'!$A$5:$A$44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4" customWidth="1" min="4" max="4"/>
    <col width="3" customWidth="1" min="5" max="5"/>
    <col width="12" customWidth="1" min="6" max="6"/>
    <col width="20" customWidth="1" min="7" max="7"/>
    <col width="20" customWidth="1" min="8" max="8"/>
    <col width="14" customWidth="1" min="9" max="9"/>
    <col width="16" customWidth="1" min="10" max="10"/>
    <col width="16" customWidth="1" min="11" max="11"/>
    <col width="16" customWidth="1" min="12" max="12"/>
    <col width="12" customWidth="1" min="13" max="13"/>
  </cols>
  <sheetData>
    <row r="1">
      <c r="A1" s="1" t="inlineStr">
        <is>
          <t>Portfolio Dashboard</t>
        </is>
      </c>
    </row>
    <row r="2">
      <c r="A2" s="2" t="inlineStr">
        <is>
          <t>Financial year September 2026 – August 2027. Forecast from the Forecast Log; actuals from Month-End Provisions.</t>
        </is>
      </c>
    </row>
    <row r="4" ht="30" customHeight="1">
      <c r="A4" s="5" t="inlineStr">
        <is>
          <t>Month</t>
        </is>
      </c>
      <c r="B4" s="5" t="inlineStr">
        <is>
          <t>Forecast Recognised (£)</t>
        </is>
      </c>
      <c r="C4" s="5" t="inlineStr">
        <is>
          <t>Actual NFI (£)</t>
        </is>
      </c>
      <c r="D4" s="5" t="inlineStr">
        <is>
          <t>Variance (£)</t>
        </is>
      </c>
      <c r="F4" s="5" t="inlineStr">
        <is>
          <t>Matter Code</t>
        </is>
      </c>
      <c r="G4" s="5" t="inlineStr">
        <is>
          <t>Client</t>
        </is>
      </c>
      <c r="H4" s="5" t="inlineStr">
        <is>
          <t>Engagement Manager</t>
        </is>
      </c>
      <c r="I4" s="5" t="inlineStr">
        <is>
          <t>Total Fee (£)</t>
        </is>
      </c>
      <c r="J4" s="5" t="inlineStr">
        <is>
          <t>Forecast to Date (£)</t>
        </is>
      </c>
      <c r="K4" s="5" t="inlineStr">
        <is>
          <t>Actual to Date (£)</t>
        </is>
      </c>
      <c r="L4" s="5" t="inlineStr">
        <is>
          <t>Remaining Fee (£)</t>
        </is>
      </c>
      <c r="M4" s="5" t="inlineStr">
        <is>
          <t>% Recognised</t>
        </is>
      </c>
    </row>
    <row r="5">
      <c r="A5" s="19" t="n">
        <v>46266</v>
      </c>
      <c r="B5" s="17">
        <f>SUMIFS('Forecast Log'!$F$5:$F$64,'Forecast Log'!$B$5:$B$64,$A5)</f>
        <v>24000</v>
      </c>
      <c r="C5" s="17">
        <f>SUMIFS('Month-End Provisions'!$C$5:$C$1004,'Month-End Provisions'!$B$5:$B$1004,$A5)</f>
        <v>24000</v>
      </c>
      <c r="D5" s="17">
        <f>$C5-$B5</f>
        <v>0</v>
      </c>
      <c r="F5" s="20" t="str">
        <f>IF('Matters Register'!$A5="","",'Matters Register'!$A5)</f>
        <v>M-1001</v>
      </c>
      <c r="G5" s="21" t="str">
        <f>IF($F5="","",'Matters Register'!$B5)</f>
        <v>Aurora Retail Group</v>
      </c>
      <c r="H5" s="21" t="str">
        <f>IF($F5="","",'Matters Register'!$D5)</f>
        <v>Priya Shah</v>
      </c>
      <c r="I5" s="22">
        <f>IF($F5="","",'Matters Register'!$E5)</f>
        <v>120000</v>
      </c>
      <c r="J5" s="17">
        <f>IF($F5="","",SUMIFS('Forecast Log'!$F$5:$F$64,'Forecast Log'!$A$5:$A$64,$F5))</f>
        <v>54000</v>
      </c>
      <c r="K5" s="17">
        <f>IF($F5="","",SUMIFS('Month-End Provisions'!$C$5:$C$1004,'Month-End Provisions'!$A$5:$A$1004,$F5))</f>
        <v>53000</v>
      </c>
      <c r="L5" s="17">
        <f>IF($F5="","",I5-K5)</f>
        <v>67000</v>
      </c>
      <c r="M5" s="23">
        <f>IF(OR($F5="",I5=0),"",K5/I5)</f>
        <v>0.44166666666666665</v>
      </c>
    </row>
    <row r="6">
      <c r="A6" s="19" t="n">
        <v>46296</v>
      </c>
      <c r="B6" s="17">
        <f>SUMIFS('Forecast Log'!$F$5:$F$64,'Forecast Log'!$B$5:$B$64,$A6)</f>
        <v>43500</v>
      </c>
      <c r="C6" s="17">
        <f>SUMIFS('Month-End Provisions'!$C$5:$C$1004,'Month-End Provisions'!$B$5:$B$1004,$A6)</f>
        <v>39500</v>
      </c>
      <c r="D6" s="17">
        <f>$C6-$B6</f>
        <v>-4000</v>
      </c>
      <c r="F6" s="20" t="str">
        <f>IF('Matters Register'!$A6="","",'Matters Register'!$A6)</f>
        <v>M-1002</v>
      </c>
      <c r="G6" s="21" t="str">
        <f>IF($F6="","",'Matters Register'!$B6)</f>
        <v>Northwind Energy</v>
      </c>
      <c r="H6" s="21" t="str">
        <f>IF($F6="","",'Matters Register'!$D6)</f>
        <v>James Okoro</v>
      </c>
      <c r="I6" s="22">
        <f>IF($F6="","",'Matters Register'!$E6)</f>
        <v>90000</v>
      </c>
      <c r="J6" s="17">
        <f>IF($F6="","",SUMIFS('Forecast Log'!$F$5:$F$64,'Forecast Log'!$A$5:$A$64,$F6))</f>
        <v>27000</v>
      </c>
      <c r="K6" s="17">
        <f>IF($F6="","",SUMIFS('Month-End Provisions'!$C$5:$C$1004,'Month-End Provisions'!$A$5:$A$1004,$F6))</f>
        <v>13500</v>
      </c>
      <c r="L6" s="17">
        <f>IF($F6="","",I6-K6)</f>
        <v>76500</v>
      </c>
      <c r="M6" s="23">
        <f>IF(OR($F6="",I6=0),"",K6/I6)</f>
        <v>0.15</v>
      </c>
    </row>
    <row r="7">
      <c r="A7" s="19" t="n">
        <v>46327</v>
      </c>
      <c r="B7" s="17">
        <f>SUMIFS('Forecast Log'!$F$5:$F$64,'Forecast Log'!$B$5:$B$64,$A7)</f>
        <v>52500</v>
      </c>
      <c r="C7" s="17">
        <f>SUMIFS('Month-End Provisions'!$C$5:$C$1004,'Month-End Provisions'!$B$5:$B$1004,$A7)</f>
        <v>26000</v>
      </c>
      <c r="D7" s="17">
        <f>$C7-$B7</f>
        <v>-26500</v>
      </c>
      <c r="F7" s="20" t="str">
        <f>IF('Matters Register'!$A7="","",'Matters Register'!$A7)</f>
        <v>M-1003</v>
      </c>
      <c r="G7" s="21" t="str">
        <f>IF($F7="","",'Matters Register'!$B7)</f>
        <v>Meridian Health</v>
      </c>
      <c r="H7" s="21" t="str">
        <f>IF($F7="","",'Matters Register'!$D7)</f>
        <v>Priya Shah</v>
      </c>
      <c r="I7" s="22">
        <f>IF($F7="","",'Matters Register'!$E7)</f>
        <v>60000</v>
      </c>
      <c r="J7" s="17">
        <f>IF($F7="","",SUMIFS('Forecast Log'!$F$5:$F$64,'Forecast Log'!$A$5:$A$64,$F7))</f>
        <v>39000</v>
      </c>
      <c r="K7" s="17">
        <f>IF($F7="","",SUMIFS('Month-End Provisions'!$C$5:$C$1004,'Month-End Provisions'!$A$5:$A$1004,$F7))</f>
        <v>23000</v>
      </c>
      <c r="L7" s="17">
        <f>IF($F7="","",I7-K7)</f>
        <v>37000</v>
      </c>
      <c r="M7" s="23">
        <f>IF(OR($F7="",I7=0),"",K7/I7)</f>
        <v>0.38333333333333336</v>
      </c>
    </row>
    <row r="8">
      <c r="A8" s="19" t="n">
        <v>46357</v>
      </c>
      <c r="B8" s="17">
        <f>SUMIFS('Forecast Log'!$F$5:$F$64,'Forecast Log'!$B$5:$B$64,$A8)</f>
        <v>0</v>
      </c>
      <c r="C8" s="17">
        <f>SUMIFS('Month-End Provisions'!$C$5:$C$1004,'Month-End Provisions'!$B$5:$B$1004,$A8)</f>
        <v>0</v>
      </c>
      <c r="D8" s="17">
        <f>$C8-$B8</f>
        <v>0</v>
      </c>
      <c r="F8" s="20" t="str">
        <f>IF('Matters Register'!$A8="","",'Matters Register'!$A8)</f>
        <v/>
      </c>
      <c r="G8" s="21" t="str">
        <f>IF($F8="","",'Matters Register'!$B8)</f>
        <v/>
      </c>
      <c r="H8" s="21" t="str">
        <f>IF($F8="","",'Matters Register'!$D8)</f>
        <v/>
      </c>
      <c r="I8" s="22" t="str">
        <f>IF($F8="","",'Matters Register'!$E8)</f>
        <v/>
      </c>
      <c r="J8" s="17" t="str">
        <f>IF($F8="","",SUMIFS('Forecast Log'!$F$5:$F$64,'Forecast Log'!$A$5:$A$64,$F8))</f>
        <v/>
      </c>
      <c r="K8" s="17" t="str">
        <f>IF($F8="","",SUMIFS('Month-End Provisions'!$C$5:$C$1004,'Month-End Provisions'!$A$5:$A$1004,$F8))</f>
        <v/>
      </c>
      <c r="L8" s="17" t="str">
        <f>IF($F8="","",I8-K8)</f>
        <v/>
      </c>
      <c r="M8" s="23" t="str">
        <f>IF(OR($F8="",I8=0),"",K8/I8)</f>
        <v/>
      </c>
    </row>
    <row r="9">
      <c r="A9" s="19" t="n">
        <v>46388</v>
      </c>
      <c r="B9" s="17">
        <f>SUMIFS('Forecast Log'!$F$5:$F$64,'Forecast Log'!$B$5:$B$64,$A9)</f>
        <v>0</v>
      </c>
      <c r="C9" s="17">
        <f>SUMIFS('Month-End Provisions'!$C$5:$C$1004,'Month-End Provisions'!$B$5:$B$1004,$A9)</f>
        <v>0</v>
      </c>
      <c r="D9" s="17">
        <f>$C9-$B9</f>
        <v>0</v>
      </c>
      <c r="F9" s="20" t="str">
        <f>IF('Matters Register'!$A9="","",'Matters Register'!$A9)</f>
        <v/>
      </c>
      <c r="G9" s="21" t="str">
        <f>IF($F9="","",'Matters Register'!$B9)</f>
        <v/>
      </c>
      <c r="H9" s="21" t="str">
        <f>IF($F9="","",'Matters Register'!$D9)</f>
        <v/>
      </c>
      <c r="I9" s="22" t="str">
        <f>IF($F9="","",'Matters Register'!$E9)</f>
        <v/>
      </c>
      <c r="J9" s="17" t="str">
        <f>IF($F9="","",SUMIFS('Forecast Log'!$F$5:$F$64,'Forecast Log'!$A$5:$A$64,$F9))</f>
        <v/>
      </c>
      <c r="K9" s="17" t="str">
        <f>IF($F9="","",SUMIFS('Month-End Provisions'!$C$5:$C$1004,'Month-End Provisions'!$A$5:$A$1004,$F9))</f>
        <v/>
      </c>
      <c r="L9" s="17" t="str">
        <f>IF($F9="","",I9-K9)</f>
        <v/>
      </c>
      <c r="M9" s="23" t="str">
        <f>IF(OR($F9="",I9=0),"",K9/I9)</f>
        <v/>
      </c>
    </row>
    <row r="10">
      <c r="A10" s="19" t="n">
        <v>46419</v>
      </c>
      <c r="B10" s="17">
        <f>SUMIFS('Forecast Log'!$F$5:$F$64,'Forecast Log'!$B$5:$B$64,$A10)</f>
        <v>0</v>
      </c>
      <c r="C10" s="17">
        <f>SUMIFS('Month-End Provisions'!$C$5:$C$1004,'Month-End Provisions'!$B$5:$B$1004,$A10)</f>
        <v>0</v>
      </c>
      <c r="D10" s="17">
        <f>$C10-$B10</f>
        <v>0</v>
      </c>
      <c r="F10" s="20" t="str">
        <f>IF('Matters Register'!$A10="","",'Matters Register'!$A10)</f>
        <v/>
      </c>
      <c r="G10" s="21" t="str">
        <f>IF($F10="","",'Matters Register'!$B10)</f>
        <v/>
      </c>
      <c r="H10" s="21" t="str">
        <f>IF($F10="","",'Matters Register'!$D10)</f>
        <v/>
      </c>
      <c r="I10" s="22" t="str">
        <f>IF($F10="","",'Matters Register'!$E10)</f>
        <v/>
      </c>
      <c r="J10" s="17" t="str">
        <f>IF($F10="","",SUMIFS('Forecast Log'!$F$5:$F$64,'Forecast Log'!$A$5:$A$64,$F10))</f>
        <v/>
      </c>
      <c r="K10" s="17" t="str">
        <f>IF($F10="","",SUMIFS('Month-End Provisions'!$C$5:$C$1004,'Month-End Provisions'!$A$5:$A$1004,$F10))</f>
        <v/>
      </c>
      <c r="L10" s="17" t="str">
        <f>IF($F10="","",I10-K10)</f>
        <v/>
      </c>
      <c r="M10" s="23" t="str">
        <f>IF(OR($F10="",I10=0),"",K10/I10)</f>
        <v/>
      </c>
    </row>
    <row r="11">
      <c r="A11" s="19" t="n">
        <v>46447</v>
      </c>
      <c r="B11" s="17">
        <f>SUMIFS('Forecast Log'!$F$5:$F$64,'Forecast Log'!$B$5:$B$64,$A11)</f>
        <v>0</v>
      </c>
      <c r="C11" s="17">
        <f>SUMIFS('Month-End Provisions'!$C$5:$C$1004,'Month-End Provisions'!$B$5:$B$1004,$A11)</f>
        <v>0</v>
      </c>
      <c r="D11" s="17">
        <f>$C11-$B11</f>
        <v>0</v>
      </c>
      <c r="F11" s="20" t="str">
        <f>IF('Matters Register'!$A11="","",'Matters Register'!$A11)</f>
        <v/>
      </c>
      <c r="G11" s="21" t="str">
        <f>IF($F11="","",'Matters Register'!$B11)</f>
        <v/>
      </c>
      <c r="H11" s="21" t="str">
        <f>IF($F11="","",'Matters Register'!$D11)</f>
        <v/>
      </c>
      <c r="I11" s="22" t="str">
        <f>IF($F11="","",'Matters Register'!$E11)</f>
        <v/>
      </c>
      <c r="J11" s="17" t="str">
        <f>IF($F11="","",SUMIFS('Forecast Log'!$F$5:$F$64,'Forecast Log'!$A$5:$A$64,$F11))</f>
        <v/>
      </c>
      <c r="K11" s="17" t="str">
        <f>IF($F11="","",SUMIFS('Month-End Provisions'!$C$5:$C$1004,'Month-End Provisions'!$A$5:$A$1004,$F11))</f>
        <v/>
      </c>
      <c r="L11" s="17" t="str">
        <f>IF($F11="","",I11-K11)</f>
        <v/>
      </c>
      <c r="M11" s="23" t="str">
        <f>IF(OR($F11="",I11=0),"",K11/I11)</f>
        <v/>
      </c>
    </row>
    <row r="12">
      <c r="A12" s="19" t="n">
        <v>46478</v>
      </c>
      <c r="B12" s="17">
        <f>SUMIFS('Forecast Log'!$F$5:$F$64,'Forecast Log'!$B$5:$B$64,$A12)</f>
        <v>0</v>
      </c>
      <c r="C12" s="17">
        <f>SUMIFS('Month-End Provisions'!$C$5:$C$1004,'Month-End Provisions'!$B$5:$B$1004,$A12)</f>
        <v>0</v>
      </c>
      <c r="D12" s="17">
        <f>$C12-$B12</f>
        <v>0</v>
      </c>
      <c r="F12" s="20" t="str">
        <f>IF('Matters Register'!$A12="","",'Matters Register'!$A12)</f>
        <v/>
      </c>
      <c r="G12" s="21" t="str">
        <f>IF($F12="","",'Matters Register'!$B12)</f>
        <v/>
      </c>
      <c r="H12" s="21" t="str">
        <f>IF($F12="","",'Matters Register'!$D12)</f>
        <v/>
      </c>
      <c r="I12" s="22" t="str">
        <f>IF($F12="","",'Matters Register'!$E12)</f>
        <v/>
      </c>
      <c r="J12" s="17" t="str">
        <f>IF($F12="","",SUMIFS('Forecast Log'!$F$5:$F$64,'Forecast Log'!$A$5:$A$64,$F12))</f>
        <v/>
      </c>
      <c r="K12" s="17" t="str">
        <f>IF($F12="","",SUMIFS('Month-End Provisions'!$C$5:$C$1004,'Month-End Provisions'!$A$5:$A$1004,$F12))</f>
        <v/>
      </c>
      <c r="L12" s="17" t="str">
        <f>IF($F12="","",I12-K12)</f>
        <v/>
      </c>
      <c r="M12" s="23" t="str">
        <f>IF(OR($F12="",I12=0),"",K12/I12)</f>
        <v/>
      </c>
    </row>
    <row r="13">
      <c r="A13" s="19" t="n">
        <v>46508</v>
      </c>
      <c r="B13" s="17">
        <f>SUMIFS('Forecast Log'!$F$5:$F$64,'Forecast Log'!$B$5:$B$64,$A13)</f>
        <v>0</v>
      </c>
      <c r="C13" s="17">
        <f>SUMIFS('Month-End Provisions'!$C$5:$C$1004,'Month-End Provisions'!$B$5:$B$1004,$A13)</f>
        <v>0</v>
      </c>
      <c r="D13" s="17">
        <f>$C13-$B13</f>
        <v>0</v>
      </c>
      <c r="F13" s="20" t="str">
        <f>IF('Matters Register'!$A13="","",'Matters Register'!$A13)</f>
        <v/>
      </c>
      <c r="G13" s="21" t="str">
        <f>IF($F13="","",'Matters Register'!$B13)</f>
        <v/>
      </c>
      <c r="H13" s="21" t="str">
        <f>IF($F13="","",'Matters Register'!$D13)</f>
        <v/>
      </c>
      <c r="I13" s="22" t="str">
        <f>IF($F13="","",'Matters Register'!$E13)</f>
        <v/>
      </c>
      <c r="J13" s="17" t="str">
        <f>IF($F13="","",SUMIFS('Forecast Log'!$F$5:$F$64,'Forecast Log'!$A$5:$A$64,$F13))</f>
        <v/>
      </c>
      <c r="K13" s="17" t="str">
        <f>IF($F13="","",SUMIFS('Month-End Provisions'!$C$5:$C$1004,'Month-End Provisions'!$A$5:$A$1004,$F13))</f>
        <v/>
      </c>
      <c r="L13" s="17" t="str">
        <f>IF($F13="","",I13-K13)</f>
        <v/>
      </c>
      <c r="M13" s="23" t="str">
        <f>IF(OR($F13="",I13=0),"",K13/I13)</f>
        <v/>
      </c>
    </row>
    <row r="14">
      <c r="A14" s="19" t="n">
        <v>46539</v>
      </c>
      <c r="B14" s="17">
        <f>SUMIFS('Forecast Log'!$F$5:$F$64,'Forecast Log'!$B$5:$B$64,$A14)</f>
        <v>0</v>
      </c>
      <c r="C14" s="17">
        <f>SUMIFS('Month-End Provisions'!$C$5:$C$1004,'Month-End Provisions'!$B$5:$B$1004,$A14)</f>
        <v>0</v>
      </c>
      <c r="D14" s="17">
        <f>$C14-$B14</f>
        <v>0</v>
      </c>
      <c r="F14" s="20" t="str">
        <f>IF('Matters Register'!$A14="","",'Matters Register'!$A14)</f>
        <v/>
      </c>
      <c r="G14" s="21" t="str">
        <f>IF($F14="","",'Matters Register'!$B14)</f>
        <v/>
      </c>
      <c r="H14" s="21" t="str">
        <f>IF($F14="","",'Matters Register'!$D14)</f>
        <v/>
      </c>
      <c r="I14" s="22" t="str">
        <f>IF($F14="","",'Matters Register'!$E14)</f>
        <v/>
      </c>
      <c r="J14" s="17" t="str">
        <f>IF($F14="","",SUMIFS('Forecast Log'!$F$5:$F$64,'Forecast Log'!$A$5:$A$64,$F14))</f>
        <v/>
      </c>
      <c r="K14" s="17" t="str">
        <f>IF($F14="","",SUMIFS('Month-End Provisions'!$C$5:$C$1004,'Month-End Provisions'!$A$5:$A$1004,$F14))</f>
        <v/>
      </c>
      <c r="L14" s="17" t="str">
        <f>IF($F14="","",I14-K14)</f>
        <v/>
      </c>
      <c r="M14" s="23" t="str">
        <f>IF(OR($F14="",I14=0),"",K14/I14)</f>
        <v/>
      </c>
    </row>
    <row r="15">
      <c r="A15" s="19" t="n">
        <v>46569</v>
      </c>
      <c r="B15" s="17">
        <f>SUMIFS('Forecast Log'!$F$5:$F$64,'Forecast Log'!$B$5:$B$64,$A15)</f>
        <v>0</v>
      </c>
      <c r="C15" s="17">
        <f>SUMIFS('Month-End Provisions'!$C$5:$C$1004,'Month-End Provisions'!$B$5:$B$1004,$A15)</f>
        <v>0</v>
      </c>
      <c r="D15" s="17">
        <f>$C15-$B15</f>
        <v>0</v>
      </c>
      <c r="F15" s="20" t="str">
        <f>IF('Matters Register'!$A15="","",'Matters Register'!$A15)</f>
        <v/>
      </c>
      <c r="G15" s="21" t="str">
        <f>IF($F15="","",'Matters Register'!$B15)</f>
        <v/>
      </c>
      <c r="H15" s="21" t="str">
        <f>IF($F15="","",'Matters Register'!$D15)</f>
        <v/>
      </c>
      <c r="I15" s="22" t="str">
        <f>IF($F15="","",'Matters Register'!$E15)</f>
        <v/>
      </c>
      <c r="J15" s="17" t="str">
        <f>IF($F15="","",SUMIFS('Forecast Log'!$F$5:$F$64,'Forecast Log'!$A$5:$A$64,$F15))</f>
        <v/>
      </c>
      <c r="K15" s="17" t="str">
        <f>IF($F15="","",SUMIFS('Month-End Provisions'!$C$5:$C$1004,'Month-End Provisions'!$A$5:$A$1004,$F15))</f>
        <v/>
      </c>
      <c r="L15" s="17" t="str">
        <f>IF($F15="","",I15-K15)</f>
        <v/>
      </c>
      <c r="M15" s="23" t="str">
        <f>IF(OR($F15="",I15=0),"",K15/I15)</f>
        <v/>
      </c>
    </row>
    <row r="16">
      <c r="A16" s="19" t="n">
        <v>46600</v>
      </c>
      <c r="B16" s="17">
        <f>SUMIFS('Forecast Log'!$F$5:$F$64,'Forecast Log'!$B$5:$B$64,$A16)</f>
        <v>0</v>
      </c>
      <c r="C16" s="17">
        <f>SUMIFS('Month-End Provisions'!$C$5:$C$1004,'Month-End Provisions'!$B$5:$B$1004,$A16)</f>
        <v>0</v>
      </c>
      <c r="D16" s="17">
        <f>$C16-$B16</f>
        <v>0</v>
      </c>
      <c r="F16" s="20" t="str">
        <f>IF('Matters Register'!$A16="","",'Matters Register'!$A16)</f>
        <v/>
      </c>
      <c r="G16" s="21" t="str">
        <f>IF($F16="","",'Matters Register'!$B16)</f>
        <v/>
      </c>
      <c r="H16" s="21" t="str">
        <f>IF($F16="","",'Matters Register'!$D16)</f>
        <v/>
      </c>
      <c r="I16" s="22" t="str">
        <f>IF($F16="","",'Matters Register'!$E16)</f>
        <v/>
      </c>
      <c r="J16" s="17" t="str">
        <f>IF($F16="","",SUMIFS('Forecast Log'!$F$5:$F$64,'Forecast Log'!$A$5:$A$64,$F16))</f>
        <v/>
      </c>
      <c r="K16" s="17" t="str">
        <f>IF($F16="","",SUMIFS('Month-End Provisions'!$C$5:$C$1004,'Month-End Provisions'!$A$5:$A$1004,$F16))</f>
        <v/>
      </c>
      <c r="L16" s="17" t="str">
        <f>IF($F16="","",I16-K16)</f>
        <v/>
      </c>
      <c r="M16" s="23" t="str">
        <f>IF(OR($F16="",I16=0),"",K16/I16)</f>
        <v/>
      </c>
    </row>
    <row r="17">
      <c r="A17" s="24" t="inlineStr">
        <is>
          <t>Total</t>
        </is>
      </c>
      <c r="B17" s="25">
        <f>SUM(B5:B16)</f>
        <v>120000</v>
      </c>
      <c r="C17" s="25">
        <f>SUM(C5:C16)</f>
        <v>89500</v>
      </c>
      <c r="D17" s="25">
        <f>SUM(D5:D16)</f>
        <v>-30500</v>
      </c>
      <c r="F17" s="20" t="str">
        <f>IF('Matters Register'!$A17="","",'Matters Register'!$A17)</f>
        <v/>
      </c>
      <c r="G17" s="21" t="str">
        <f>IF($F17="","",'Matters Register'!$B17)</f>
        <v/>
      </c>
      <c r="H17" s="21" t="str">
        <f>IF($F17="","",'Matters Register'!$D17)</f>
        <v/>
      </c>
      <c r="I17" s="22" t="str">
        <f>IF($F17="","",'Matters Register'!$E17)</f>
        <v/>
      </c>
      <c r="J17" s="17" t="str">
        <f>IF($F17="","",SUMIFS('Forecast Log'!$F$5:$F$64,'Forecast Log'!$A$5:$A$64,$F17))</f>
        <v/>
      </c>
      <c r="K17" s="17" t="str">
        <f>IF($F17="","",SUMIFS('Month-End Provisions'!$C$5:$C$1004,'Month-End Provisions'!$A$5:$A$1004,$F17))</f>
        <v/>
      </c>
      <c r="L17" s="17" t="str">
        <f>IF($F17="","",I17-K17)</f>
        <v/>
      </c>
      <c r="M17" s="23" t="str">
        <f>IF(OR($F17="",I17=0),"",K17/I17)</f>
        <v/>
      </c>
    </row>
    <row r="18">
      <c r="F18" s="20" t="str">
        <f>IF('Matters Register'!$A18="","",'Matters Register'!$A18)</f>
        <v/>
      </c>
      <c r="G18" s="21" t="str">
        <f>IF($F18="","",'Matters Register'!$B18)</f>
        <v/>
      </c>
      <c r="H18" s="21" t="str">
        <f>IF($F18="","",'Matters Register'!$D18)</f>
        <v/>
      </c>
      <c r="I18" s="22" t="str">
        <f>IF($F18="","",'Matters Register'!$E18)</f>
        <v/>
      </c>
      <c r="J18" s="17" t="str">
        <f>IF($F18="","",SUMIFS('Forecast Log'!$F$5:$F$64,'Forecast Log'!$A$5:$A$64,$F18))</f>
        <v/>
      </c>
      <c r="K18" s="17" t="str">
        <f>IF($F18="","",SUMIFS('Month-End Provisions'!$C$5:$C$1004,'Month-End Provisions'!$A$5:$A$1004,$F18))</f>
        <v/>
      </c>
      <c r="L18" s="17" t="str">
        <f>IF($F18="","",I18-K18)</f>
        <v/>
      </c>
      <c r="M18" s="23" t="str">
        <f>IF(OR($F18="",I18=0),"",K18/I18)</f>
        <v/>
      </c>
    </row>
    <row r="19">
      <c r="F19" s="20" t="str">
        <f>IF('Matters Register'!$A19="","",'Matters Register'!$A19)</f>
        <v/>
      </c>
      <c r="G19" s="21" t="str">
        <f>IF($F19="","",'Matters Register'!$B19)</f>
        <v/>
      </c>
      <c r="H19" s="21" t="str">
        <f>IF($F19="","",'Matters Register'!$D19)</f>
        <v/>
      </c>
      <c r="I19" s="22" t="str">
        <f>IF($F19="","",'Matters Register'!$E19)</f>
        <v/>
      </c>
      <c r="J19" s="17" t="str">
        <f>IF($F19="","",SUMIFS('Forecast Log'!$F$5:$F$64,'Forecast Log'!$A$5:$A$64,$F19))</f>
        <v/>
      </c>
      <c r="K19" s="17" t="str">
        <f>IF($F19="","",SUMIFS('Month-End Provisions'!$C$5:$C$1004,'Month-End Provisions'!$A$5:$A$1004,$F19))</f>
        <v/>
      </c>
      <c r="L19" s="17" t="str">
        <f>IF($F19="","",I19-K19)</f>
        <v/>
      </c>
      <c r="M19" s="23" t="str">
        <f>IF(OR($F19="",I19=0),"",K19/I19)</f>
        <v/>
      </c>
    </row>
    <row r="20">
      <c r="F20" s="20" t="str">
        <f>IF('Matters Register'!$A20="","",'Matters Register'!$A20)</f>
        <v/>
      </c>
      <c r="G20" s="21" t="str">
        <f>IF($F20="","",'Matters Register'!$B20)</f>
        <v/>
      </c>
      <c r="H20" s="21" t="str">
        <f>IF($F20="","",'Matters Register'!$D20)</f>
        <v/>
      </c>
      <c r="I20" s="22" t="str">
        <f>IF($F20="","",'Matters Register'!$E20)</f>
        <v/>
      </c>
      <c r="J20" s="17" t="str">
        <f>IF($F20="","",SUMIFS('Forecast Log'!$F$5:$F$64,'Forecast Log'!$A$5:$A$64,$F20))</f>
        <v/>
      </c>
      <c r="K20" s="17" t="str">
        <f>IF($F20="","",SUMIFS('Month-End Provisions'!$C$5:$C$1004,'Month-End Provisions'!$A$5:$A$1004,$F20))</f>
        <v/>
      </c>
      <c r="L20" s="17" t="str">
        <f>IF($F20="","",I20-K20)</f>
        <v/>
      </c>
      <c r="M20" s="23" t="str">
        <f>IF(OR($F20="",I20=0),"",K20/I20)</f>
        <v/>
      </c>
    </row>
    <row r="21">
      <c r="F21" s="20" t="str">
        <f>IF('Matters Register'!$A21="","",'Matters Register'!$A21)</f>
        <v/>
      </c>
      <c r="G21" s="21" t="str">
        <f>IF($F21="","",'Matters Register'!$B21)</f>
        <v/>
      </c>
      <c r="H21" s="21" t="str">
        <f>IF($F21="","",'Matters Register'!$D21)</f>
        <v/>
      </c>
      <c r="I21" s="22" t="str">
        <f>IF($F21="","",'Matters Register'!$E21)</f>
        <v/>
      </c>
      <c r="J21" s="17" t="str">
        <f>IF($F21="","",SUMIFS('Forecast Log'!$F$5:$F$64,'Forecast Log'!$A$5:$A$64,$F21))</f>
        <v/>
      </c>
      <c r="K21" s="17" t="str">
        <f>IF($F21="","",SUMIFS('Month-End Provisions'!$C$5:$C$1004,'Month-End Provisions'!$A$5:$A$1004,$F21))</f>
        <v/>
      </c>
      <c r="L21" s="17" t="str">
        <f>IF($F21="","",I21-K21)</f>
        <v/>
      </c>
      <c r="M21" s="23" t="str">
        <f>IF(OR($F21="",I21=0),"",K21/I21)</f>
        <v/>
      </c>
    </row>
    <row r="22">
      <c r="F22" s="20" t="str">
        <f>IF('Matters Register'!$A22="","",'Matters Register'!$A22)</f>
        <v/>
      </c>
      <c r="G22" s="21" t="str">
        <f>IF($F22="","",'Matters Register'!$B22)</f>
        <v/>
      </c>
      <c r="H22" s="21" t="str">
        <f>IF($F22="","",'Matters Register'!$D22)</f>
        <v/>
      </c>
      <c r="I22" s="22" t="str">
        <f>IF($F22="","",'Matters Register'!$E22)</f>
        <v/>
      </c>
      <c r="J22" s="17" t="str">
        <f>IF($F22="","",SUMIFS('Forecast Log'!$F$5:$F$64,'Forecast Log'!$A$5:$A$64,$F22))</f>
        <v/>
      </c>
      <c r="K22" s="17" t="str">
        <f>IF($F22="","",SUMIFS('Month-End Provisions'!$C$5:$C$1004,'Month-End Provisions'!$A$5:$A$1004,$F22))</f>
        <v/>
      </c>
      <c r="L22" s="17" t="str">
        <f>IF($F22="","",I22-K22)</f>
        <v/>
      </c>
      <c r="M22" s="23" t="str">
        <f>IF(OR($F22="",I22=0),"",K22/I22)</f>
        <v/>
      </c>
    </row>
    <row r="23">
      <c r="F23" s="20" t="str">
        <f>IF('Matters Register'!$A23="","",'Matters Register'!$A23)</f>
        <v/>
      </c>
      <c r="G23" s="21" t="str">
        <f>IF($F23="","",'Matters Register'!$B23)</f>
        <v/>
      </c>
      <c r="H23" s="21" t="str">
        <f>IF($F23="","",'Matters Register'!$D23)</f>
        <v/>
      </c>
      <c r="I23" s="22" t="str">
        <f>IF($F23="","",'Matters Register'!$E23)</f>
        <v/>
      </c>
      <c r="J23" s="17" t="str">
        <f>IF($F23="","",SUMIFS('Forecast Log'!$F$5:$F$64,'Forecast Log'!$A$5:$A$64,$F23))</f>
        <v/>
      </c>
      <c r="K23" s="17" t="str">
        <f>IF($F23="","",SUMIFS('Month-End Provisions'!$C$5:$C$1004,'Month-End Provisions'!$A$5:$A$1004,$F23))</f>
        <v/>
      </c>
      <c r="L23" s="17" t="str">
        <f>IF($F23="","",I23-K23)</f>
        <v/>
      </c>
      <c r="M23" s="23" t="str">
        <f>IF(OR($F23="",I23=0),"",K23/I23)</f>
        <v/>
      </c>
    </row>
    <row r="24">
      <c r="F24" s="20" t="str">
        <f>IF('Matters Register'!$A24="","",'Matters Register'!$A24)</f>
        <v/>
      </c>
      <c r="G24" s="21" t="str">
        <f>IF($F24="","",'Matters Register'!$B24)</f>
        <v/>
      </c>
      <c r="H24" s="21" t="str">
        <f>IF($F24="","",'Matters Register'!$D24)</f>
        <v/>
      </c>
      <c r="I24" s="22" t="str">
        <f>IF($F24="","",'Matters Register'!$E24)</f>
        <v/>
      </c>
      <c r="J24" s="17" t="str">
        <f>IF($F24="","",SUMIFS('Forecast Log'!$F$5:$F$64,'Forecast Log'!$A$5:$A$64,$F24))</f>
        <v/>
      </c>
      <c r="K24" s="17" t="str">
        <f>IF($F24="","",SUMIFS('Month-End Provisions'!$C$5:$C$1004,'Month-End Provisions'!$A$5:$A$1004,$F24))</f>
        <v/>
      </c>
      <c r="L24" s="17" t="str">
        <f>IF($F24="","",I24-K24)</f>
        <v/>
      </c>
      <c r="M24" s="23" t="str">
        <f>IF(OR($F24="",I24=0),"",K24/I24)</f>
        <v/>
      </c>
    </row>
    <row r="26">
      <c r="F26" s="2" t="inlineStr">
        <is>
          <t>By Engagement Manager (add/remove EM names as needed)</t>
        </is>
      </c>
    </row>
    <row r="27">
      <c r="F27" s="5" t="inlineStr">
        <is>
          <t>Engagement Manager</t>
        </is>
      </c>
      <c r="G27" s="5" t="inlineStr">
        <is>
          <t>Forecast to Date (£)</t>
        </is>
      </c>
      <c r="H27" s="5" t="inlineStr">
        <is>
          <t>Actual to Date (£)</t>
        </is>
      </c>
    </row>
    <row r="28">
      <c r="F28" s="7" t="inlineStr">
        <is>
          <t>Priya Shah</t>
        </is>
      </c>
      <c r="G28" s="17">
        <f>SUMIF($H$5:$H$24,$F28,$J$5:$J$24)</f>
        <v>93000</v>
      </c>
      <c r="H28" s="17">
        <f>SUMIF($H$5:$H$24,$F28,$K$5:$K$24)</f>
        <v>76000</v>
      </c>
    </row>
    <row r="29">
      <c r="F29" s="7" t="inlineStr">
        <is>
          <t>James Okoro</t>
        </is>
      </c>
      <c r="G29" s="17">
        <f>SUMIF($H$5:$H$24,$F29,$J$5:$J$24)</f>
        <v>27000</v>
      </c>
      <c r="H29" s="17">
        <f>SUMIF($H$5:$H$24,$F29,$K$5:$K$24)</f>
        <v>13500</v>
      </c>
    </row>
  </sheetData>
  <conditionalFormatting sqref="D5:D16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2026-08-06T18:47:52Z</dcterms:created>
  <dcterms:modified xsi:type="dcterms:W3CDTF">2026-08-06T18:47:52Z</dcterms:modified>
</cp:coreProperties>
</file>