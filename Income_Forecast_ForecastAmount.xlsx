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tters Register" sheetId="2" state="visible" r:id="rId2"/>
    <sheet name="Forecast Log" sheetId="3" state="visible" r:id="rId3"/>
    <sheet name="Month-End Provisions" sheetId="4" state="visible" r:id="rId4"/>
    <sheet name="Dashboard" sheetId="5" state="visible" r:id="rId5"/>
  </sheets>
  <definedNames>
    <definedName name="_xlnm._FilterDatabase" localSheetId="2" hidden="1">'Forecast Log'!$A$4:$Q$64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"/>
    <numFmt numFmtId="165" formatCode="yyyy-mm-dd"/>
    <numFmt numFmtId="166" formatCode="DD-MMM-YYYY"/>
    <numFmt numFmtId="167" formatCode="MMM-YYYY"/>
    <numFmt numFmtId="168" formatCode="£#,##0;(£#,##0);-"/>
    <numFmt numFmtId="169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164" fontId="6" fillId="3" borderId="1" pivotButton="0" quotePrefix="0" xfId="0"/>
    <xf numFmtId="166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center" vertical="center"/>
    </xf>
    <xf numFmtId="164" fontId="7" fillId="0" borderId="1" pivotButton="0" quotePrefix="0" xfId="0"/>
    <xf numFmtId="164" fontId="6" fillId="3" borderId="1" applyAlignment="1" pivotButton="0" quotePrefix="0" xfId="0">
      <alignment horizontal="center" vertical="center"/>
    </xf>
    <xf numFmtId="168" fontId="4" fillId="4" borderId="1" pivotButton="0" quotePrefix="0" xfId="0"/>
    <xf numFmtId="169" fontId="4" fillId="4" borderId="1" applyAlignment="1" pivotButton="0" quotePrefix="0" xfId="0">
      <alignment horizontal="center" vertical="center"/>
    </xf>
    <xf numFmtId="168" fontId="7" fillId="4" borderId="1" pivotButton="0" quotePrefix="0" xfId="0"/>
    <xf numFmtId="168" fontId="4" fillId="0" borderId="1" pivotButton="0" quotePrefix="0" xfId="0"/>
    <xf numFmtId="0" fontId="7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pivotButton="0" quotePrefix="0" xfId="0"/>
    <xf numFmtId="167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8" fontId="7" fillId="0" borderId="1" pivotButton="0" quotePrefix="0" xfId="0"/>
    <xf numFmtId="16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5" borderId="1" pivotButton="0" quotePrefix="0" xfId="0"/>
    <xf numFmtId="168" fontId="8" fillId="5" borderId="1" pivotButton="0" quotePrefix="0" xfId="0"/>
    <xf numFmtId="0" fontId="9" fillId="0" borderId="0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843C0C"/>
        <sz val="10"/>
      </font>
      <fill>
        <patternFill patternType="solid">
          <fgColor rgb="00F8CBAD"/>
        </patternFill>
      </fill>
    </dxf>
    <dxf>
      <font>
        <name val="Arial"/>
        <color rgb="00806000"/>
        <sz val="10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Forecast vs Actual NFI by Month (FY Sep 2026 – Aug 2027)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'Dashboard'!$A$5:$A$16</f>
            </numRef>
          </cat>
          <val>
            <numRef>
              <f>'Dashboard'!$B$5:$B$16</f>
            </numRef>
          </val>
        </ser>
        <ser>
          <idx val="1"/>
          <order val="1"/>
          <tx>
            <strRef>
              <f>'Dashboard'!C4</f>
            </strRef>
          </tx>
          <spPr>
            <a:ln>
              <a:prstDash val="solid"/>
            </a:ln>
          </spPr>
          <cat>
            <numRef>
              <f>'Dashboard'!$A$5:$A$16</f>
            </numRef>
          </cat>
          <val>
            <numRef>
              <f>'Dashboard'!$C$5:$C$16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tters" displayName="tblMatters" ref="A4:H24" headerRowCount="1">
  <autoFilter ref="A4:H24"/>
  <tableColumns count="8">
    <tableColumn id="1" name="Matter Code"/>
    <tableColumn id="2" name="Client"/>
    <tableColumn id="3" name="Engagement Name"/>
    <tableColumn id="4" name="Engagement Manager"/>
    <tableColumn id="5" name="Total Fee (£)"/>
    <tableColumn id="6" name="Start Date"/>
    <tableColumn id="7" name="Expected End Date"/>
    <tableColumn id="8" name="Status"/>
  </tableColumns>
  <tableStyleInfo name="TableStyleLight9" showRowStripes="0"/>
</table>
</file>

<file path=xl/tables/table2.xml><?xml version="1.0" encoding="utf-8"?>
<table xmlns="http://schemas.openxmlformats.org/spreadsheetml/2006/main" id="2" name="tblProvisions" displayName="tblProvisions" ref="A4:C28" headerRowCount="1">
  <autoFilter ref="A4:C28"/>
  <tableColumns count="3">
    <tableColumn id="1" name="Matter Code"/>
    <tableColumn id="2" name="Month"/>
    <tableColumn id="3" name="NFI Amount (£)"/>
  </tableColumns>
  <tableStyleInfo name="TableStyleLight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inlineStr">
        <is>
          <t>Consultancy Income Forecast</t>
        </is>
      </c>
    </row>
    <row r="2">
      <c r="A2" s="2" t="inlineStr">
        <is>
          <t>Direct £ forecast per month · GBP (£) · Financial year September–August · XLOOKUP formulas</t>
        </is>
      </c>
    </row>
    <row r="4">
      <c r="B4" s="3" t="inlineStr">
        <is>
          <t>How this workbook works</t>
        </is>
      </c>
    </row>
    <row r="5" ht="60" customHeight="1">
      <c r="B5" s="4" t="inlineStr">
        <is>
          <t>Every engagement is confirmed work with a Matter Code and an agreed fixed fee. Each month the engagement manager (EM) enters the £ amount of fee to recognise; the workbook tracks it against the fee. Actual net fee income (NFI) is pulled automatically from the Month-End Provisions tab and compared against the forecast, and any variance is flagged.</t>
        </is>
      </c>
    </row>
    <row r="6">
      <c r="B6" s="3" t="inlineStr">
        <is>
          <t>The five tabs</t>
        </is>
      </c>
    </row>
    <row r="7" ht="30" customHeight="1">
      <c r="B7" s="4" t="inlineStr">
        <is>
          <t>1.  Matters Register — master list of engagements (Matter Code, client, EM, total fixed fee, dates, status). Add a row here first for every new confirmed engagement.</t>
        </is>
      </c>
    </row>
    <row r="8" ht="60" customHeight="1">
      <c r="B8" s="4" t="inlineStr">
        <is>
          <t>2.  Forecast Log — the working record, one row per engagement per month. You enter the Matter Code, the Month, and the forecast £ amount to recognise that month. Everything else calculates. This is the permanent, append-only history — never overwrite a past month's row; add a new row for the new month.</t>
        </is>
      </c>
    </row>
    <row r="9" ht="30" customHeight="1">
      <c r="B9" s="4" t="inlineStr">
        <is>
          <t>3.  Month-End Provisions — paste your monthly NFI provisions extract here (Matter Code, Month, NFI Amount). The Forecast Log reads actuals from this tab by matching Matter Code + Month.</t>
        </is>
      </c>
    </row>
    <row r="10" ht="30" customHeight="1">
      <c r="B10" s="4" t="inlineStr">
        <is>
          <t>4.  Dashboard — portfolio roll-up by month, by engagement and by EM, with a forecast-vs-actual chart and an Open Variances tracker.</t>
        </is>
      </c>
    </row>
    <row r="11" ht="15" customHeight="1">
      <c r="B11" s="4" t="inlineStr">
        <is>
          <t>5.  Instructions — this page.</t>
        </is>
      </c>
    </row>
    <row r="12">
      <c r="B12" s="3" t="inlineStr">
        <is>
          <t>Monthly routine</t>
        </is>
      </c>
    </row>
    <row r="13" ht="15" customHeight="1">
      <c r="B13" s="4" t="inlineStr">
        <is>
          <t>a.  Paste the latest NFI provisions into Month-End Provisions.</t>
        </is>
      </c>
    </row>
    <row r="14" ht="30" customHeight="1">
      <c r="B14" s="4" t="inlineStr">
        <is>
          <t>b.  In the Forecast Log, add one new row per active engagement for the new month and enter the forecast £ amount.</t>
        </is>
      </c>
    </row>
    <row r="15" ht="30" customHeight="1">
      <c r="B15" s="4" t="inlineStr">
        <is>
          <t>c.  Review the Variance column: red = actual came in UNDER your forecast; amber = actual came in OVER your forecast.</t>
        </is>
      </c>
    </row>
    <row r="16" ht="45" customHeight="1">
      <c r="B16" s="4" t="inlineStr">
        <is>
          <t>d.  Re-allocate next month: enter next month's forecast £ so the remaining fee (see Remaining Fee) is re-spread across the remaining months. The workbook flags the variance; the EM decides how to re-spread it.</t>
        </is>
      </c>
    </row>
    <row r="17" ht="30" customHeight="1">
      <c r="B17" s="4" t="inlineStr">
        <is>
          <t>e.  Record the reforecast on the FLAGGED month's row: set Variance Status (Reforecast / Accepted), plus Reforecast By and Reforecast Date. This is the audit trail.</t>
        </is>
      </c>
    </row>
    <row r="18">
      <c r="B18" s="3" t="inlineStr">
        <is>
          <t>Tracking reforecasts</t>
        </is>
      </c>
    </row>
    <row r="19" ht="75" customHeight="1">
      <c r="B19" s="4" t="inlineStr">
        <is>
          <t>The Forecast Log's right-hand columns show whether each flagged variance has been actioned: Reforecast Entered? auto-detects whether a later month's row exists; Outstanding? shows YES (red) for any variance not yet signed off; Action Note says what's needed. Use the header AutoFilter to filter Outstanding? = YES or by Engagement Manager. The Dashboard's Open Variances panel counts outstanding items overall and per EM.</t>
        </is>
      </c>
    </row>
    <row r="20">
      <c r="B20" s="3" t="inlineStr">
        <is>
          <t>Colour key</t>
        </is>
      </c>
    </row>
    <row r="21" ht="45" customHeight="1">
      <c r="B21" s="4" t="inlineStr">
        <is>
          <t>Blue text on pale-yellow fill = cells you fill in.   Black = calculated, do not edit.   Green = pulled from another tab.   Red / amber fills = under / over variance and outstanding-reforecast flags.</t>
        </is>
      </c>
    </row>
    <row r="22">
      <c r="B22" s="3" t="inlineStr">
        <is>
          <t>Notes</t>
        </is>
      </c>
    </row>
    <row r="23" ht="60" customHeight="1">
      <c r="B23" s="4" t="inlineStr">
        <is>
          <t>· Forecast and all amounts are GBP.   · The Dashboard's Unallocated Fee (£) column = total fee minus the forecast you've entered: amber = fee still to spread, red = over-forecast, blank = fully forecast.   · Dates are the first of the month (shown as Sep-2026).   · Demo engagements M-1001/1002/1003 are examples — delete them once you add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Matters Register</t>
        </is>
      </c>
    </row>
    <row r="2">
      <c r="A2" s="2" t="inlineStr">
        <is>
          <t>One row per confirmed engagement. Blue cells are inputs.</t>
        </is>
      </c>
    </row>
    <row r="4">
      <c r="A4" s="5" t="inlineStr">
        <is>
          <t>Matter Code</t>
        </is>
      </c>
      <c r="B4" s="5" t="inlineStr">
        <is>
          <t>Client</t>
        </is>
      </c>
      <c r="C4" s="5" t="inlineStr">
        <is>
          <t>Engagement Name</t>
        </is>
      </c>
      <c r="D4" s="5" t="inlineStr">
        <is>
          <t>Engagement Manager</t>
        </is>
      </c>
      <c r="E4" s="5" t="inlineStr">
        <is>
          <t>Total Fee (£)</t>
        </is>
      </c>
      <c r="F4" s="5" t="inlineStr">
        <is>
          <t>Start Date</t>
        </is>
      </c>
      <c r="G4" s="5" t="inlineStr">
        <is>
          <t>Expected End Date</t>
        </is>
      </c>
      <c r="H4" s="5" t="inlineStr">
        <is>
          <t>Status</t>
        </is>
      </c>
    </row>
    <row r="5">
      <c r="A5" s="6" t="inlineStr">
        <is>
          <t>M-1001</t>
        </is>
      </c>
      <c r="B5" s="7" t="inlineStr">
        <is>
          <t>Aurora Retail Group</t>
        </is>
      </c>
      <c r="C5" s="7" t="inlineStr">
        <is>
          <t>Supply Chain Diagnostic</t>
        </is>
      </c>
      <c r="D5" s="7" t="inlineStr">
        <is>
          <t>Priya Shah</t>
        </is>
      </c>
      <c r="E5" s="8" t="n">
        <v>120000</v>
      </c>
      <c r="F5" s="9" t="n">
        <v>46266</v>
      </c>
      <c r="G5" s="9" t="n">
        <v>46446</v>
      </c>
      <c r="H5" s="7" t="inlineStr">
        <is>
          <t>Active</t>
        </is>
      </c>
    </row>
    <row r="6">
      <c r="A6" s="6" t="inlineStr">
        <is>
          <t>M-1002</t>
        </is>
      </c>
      <c r="B6" s="7" t="inlineStr">
        <is>
          <t>Northwind Energy</t>
        </is>
      </c>
      <c r="C6" s="7" t="inlineStr">
        <is>
          <t>Cost Transformation</t>
        </is>
      </c>
      <c r="D6" s="7" t="inlineStr">
        <is>
          <t>James Okoro</t>
        </is>
      </c>
      <c r="E6" s="8" t="n">
        <v>90000</v>
      </c>
      <c r="F6" s="9" t="n">
        <v>46296</v>
      </c>
      <c r="G6" s="9" t="n">
        <v>46477</v>
      </c>
      <c r="H6" s="7" t="inlineStr">
        <is>
          <t>Active</t>
        </is>
      </c>
    </row>
    <row r="7">
      <c r="A7" s="6" t="inlineStr">
        <is>
          <t>M-1003</t>
        </is>
      </c>
      <c r="B7" s="7" t="inlineStr">
        <is>
          <t>Meridian Health</t>
        </is>
      </c>
      <c r="C7" s="7" t="inlineStr">
        <is>
          <t>Operating Model Review</t>
        </is>
      </c>
      <c r="D7" s="7" t="inlineStr">
        <is>
          <t>Priya Shah</t>
        </is>
      </c>
      <c r="E7" s="8" t="n">
        <v>60000</v>
      </c>
      <c r="F7" s="9" t="n">
        <v>46266</v>
      </c>
      <c r="G7" s="9" t="n">
        <v>46387</v>
      </c>
      <c r="H7" s="7" t="inlineStr">
        <is>
          <t>Active</t>
        </is>
      </c>
    </row>
    <row r="8">
      <c r="A8" s="6" t="n"/>
      <c r="B8" s="7" t="n"/>
      <c r="C8" s="7" t="n"/>
      <c r="D8" s="7" t="n"/>
      <c r="E8" s="8" t="n"/>
      <c r="F8" s="9" t="n"/>
      <c r="G8" s="9" t="n"/>
      <c r="H8" s="7" t="n"/>
    </row>
    <row r="9">
      <c r="A9" s="6" t="n"/>
      <c r="B9" s="7" t="n"/>
      <c r="C9" s="7" t="n"/>
      <c r="D9" s="7" t="n"/>
      <c r="E9" s="8" t="n"/>
      <c r="F9" s="9" t="n"/>
      <c r="G9" s="9" t="n"/>
      <c r="H9" s="7" t="n"/>
    </row>
    <row r="10">
      <c r="A10" s="6" t="n"/>
      <c r="B10" s="7" t="n"/>
      <c r="C10" s="7" t="n"/>
      <c r="D10" s="7" t="n"/>
      <c r="E10" s="8" t="n"/>
      <c r="F10" s="9" t="n"/>
      <c r="G10" s="9" t="n"/>
      <c r="H10" s="7" t="n"/>
    </row>
    <row r="11">
      <c r="A11" s="6" t="n"/>
      <c r="B11" s="7" t="n"/>
      <c r="C11" s="7" t="n"/>
      <c r="D11" s="7" t="n"/>
      <c r="E11" s="8" t="n"/>
      <c r="F11" s="9" t="n"/>
      <c r="G11" s="9" t="n"/>
      <c r="H11" s="7" t="n"/>
    </row>
    <row r="12">
      <c r="A12" s="6" t="n"/>
      <c r="B12" s="7" t="n"/>
      <c r="C12" s="7" t="n"/>
      <c r="D12" s="7" t="n"/>
      <c r="E12" s="8" t="n"/>
      <c r="F12" s="9" t="n"/>
      <c r="G12" s="9" t="n"/>
      <c r="H12" s="7" t="n"/>
    </row>
    <row r="13">
      <c r="A13" s="6" t="n"/>
      <c r="B13" s="7" t="n"/>
      <c r="C13" s="7" t="n"/>
      <c r="D13" s="7" t="n"/>
      <c r="E13" s="8" t="n"/>
      <c r="F13" s="9" t="n"/>
      <c r="G13" s="9" t="n"/>
      <c r="H13" s="7" t="n"/>
    </row>
    <row r="14">
      <c r="A14" s="6" t="n"/>
      <c r="B14" s="7" t="n"/>
      <c r="C14" s="7" t="n"/>
      <c r="D14" s="7" t="n"/>
      <c r="E14" s="8" t="n"/>
      <c r="F14" s="9" t="n"/>
      <c r="G14" s="9" t="n"/>
      <c r="H14" s="7" t="n"/>
    </row>
    <row r="15">
      <c r="A15" s="6" t="n"/>
      <c r="B15" s="7" t="n"/>
      <c r="C15" s="7" t="n"/>
      <c r="D15" s="7" t="n"/>
      <c r="E15" s="8" t="n"/>
      <c r="F15" s="9" t="n"/>
      <c r="G15" s="9" t="n"/>
      <c r="H15" s="7" t="n"/>
    </row>
    <row r="16">
      <c r="A16" s="6" t="n"/>
      <c r="B16" s="7" t="n"/>
      <c r="C16" s="7" t="n"/>
      <c r="D16" s="7" t="n"/>
      <c r="E16" s="8" t="n"/>
      <c r="F16" s="9" t="n"/>
      <c r="G16" s="9" t="n"/>
      <c r="H16" s="7" t="n"/>
    </row>
    <row r="17">
      <c r="A17" s="6" t="n"/>
      <c r="B17" s="7" t="n"/>
      <c r="C17" s="7" t="n"/>
      <c r="D17" s="7" t="n"/>
      <c r="E17" s="8" t="n"/>
      <c r="F17" s="9" t="n"/>
      <c r="G17" s="9" t="n"/>
      <c r="H17" s="7" t="n"/>
    </row>
    <row r="18">
      <c r="A18" s="6" t="n"/>
      <c r="B18" s="7" t="n"/>
      <c r="C18" s="7" t="n"/>
      <c r="D18" s="7" t="n"/>
      <c r="E18" s="8" t="n"/>
      <c r="F18" s="9" t="n"/>
      <c r="G18" s="9" t="n"/>
      <c r="H18" s="7" t="n"/>
    </row>
    <row r="19">
      <c r="A19" s="6" t="n"/>
      <c r="B19" s="7" t="n"/>
      <c r="C19" s="7" t="n"/>
      <c r="D19" s="7" t="n"/>
      <c r="E19" s="8" t="n"/>
      <c r="F19" s="9" t="n"/>
      <c r="G19" s="9" t="n"/>
      <c r="H19" s="7" t="n"/>
    </row>
    <row r="20">
      <c r="A20" s="6" t="n"/>
      <c r="B20" s="7" t="n"/>
      <c r="C20" s="7" t="n"/>
      <c r="D20" s="7" t="n"/>
      <c r="E20" s="8" t="n"/>
      <c r="F20" s="9" t="n"/>
      <c r="G20" s="9" t="n"/>
      <c r="H20" s="7" t="n"/>
    </row>
    <row r="21">
      <c r="A21" s="6" t="n"/>
      <c r="B21" s="7" t="n"/>
      <c r="C21" s="7" t="n"/>
      <c r="D21" s="7" t="n"/>
      <c r="E21" s="8" t="n"/>
      <c r="F21" s="9" t="n"/>
      <c r="G21" s="9" t="n"/>
      <c r="H21" s="7" t="n"/>
    </row>
    <row r="22">
      <c r="A22" s="6" t="n"/>
      <c r="B22" s="7" t="n"/>
      <c r="C22" s="7" t="n"/>
      <c r="D22" s="7" t="n"/>
      <c r="E22" s="8" t="n"/>
      <c r="F22" s="9" t="n"/>
      <c r="G22" s="9" t="n"/>
      <c r="H22" s="7" t="n"/>
    </row>
    <row r="23">
      <c r="A23" s="6" t="n"/>
      <c r="B23" s="7" t="n"/>
      <c r="C23" s="7" t="n"/>
      <c r="D23" s="7" t="n"/>
      <c r="E23" s="8" t="n"/>
      <c r="F23" s="9" t="n"/>
      <c r="G23" s="9" t="n"/>
      <c r="H23" s="7" t="n"/>
    </row>
    <row r="24">
      <c r="A24" s="6" t="n"/>
      <c r="B24" s="7" t="n"/>
      <c r="C24" s="7" t="n"/>
      <c r="D24" s="7" t="n"/>
      <c r="E24" s="8" t="n"/>
      <c r="F24" s="9" t="n"/>
      <c r="G24" s="9" t="n"/>
      <c r="H24" s="7" t="n"/>
    </row>
  </sheetData>
  <dataValidations count="1">
    <dataValidation sqref="H5:H24" showDropDown="0" showInputMessage="0" showErrorMessage="0" allowBlank="1" type="list">
      <formula1>"Active,Complete,On hold"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16" customWidth="1" min="5" max="5"/>
    <col width="18" customWidth="1" min="6" max="6"/>
    <col width="16" customWidth="1" min="7" max="7"/>
    <col width="12" customWidth="1" min="8" max="8"/>
    <col width="16" customWidth="1" min="9" max="9"/>
    <col width="14" customWidth="1" min="10" max="10"/>
    <col width="18" customWidth="1" min="11" max="11"/>
    <col width="13" customWidth="1" min="12" max="12"/>
    <col width="12" customWidth="1" min="13" max="13"/>
    <col width="14" customWidth="1" min="14" max="14"/>
    <col width="15" customWidth="1" min="15" max="15"/>
    <col width="12" customWidth="1" min="16" max="16"/>
    <col width="32" customWidth="1" min="17" max="17"/>
  </cols>
  <sheetData>
    <row r="1">
      <c r="A1" s="1" t="inlineStr">
        <is>
          <t>Forecast Log — permanent monthly record</t>
        </is>
      </c>
    </row>
    <row r="2">
      <c r="A2" s="2" t="inlineStr">
        <is>
          <t>Append one row per engagement per month. Enter Matter Code, Month and Forecast This Month (£) (blue). Everything else calculates.</t>
        </is>
      </c>
    </row>
    <row r="4" ht="42" customHeight="1">
      <c r="A4" s="10" t="inlineStr">
        <is>
          <t>Matter Code</t>
        </is>
      </c>
      <c r="B4" s="10" t="inlineStr">
        <is>
          <t>Month</t>
        </is>
      </c>
      <c r="C4" s="10" t="inlineStr">
        <is>
          <t>Total Fee (£)</t>
        </is>
      </c>
      <c r="D4" s="10" t="inlineStr">
        <is>
          <t>Forecast This Month (£)</t>
        </is>
      </c>
      <c r="E4" s="10" t="inlineStr">
        <is>
          <t>Forecast Cum to Date (£)</t>
        </is>
      </c>
      <c r="F4" s="10" t="inlineStr">
        <is>
          <t>% Complete to Date</t>
        </is>
      </c>
      <c r="G4" s="10" t="inlineStr">
        <is>
          <t>Actual NFI This Month (£)</t>
        </is>
      </c>
      <c r="H4" s="10" t="inlineStr">
        <is>
          <t>Variance (£)</t>
        </is>
      </c>
      <c r="I4" s="10" t="inlineStr">
        <is>
          <t>Cumulative Actual to Date (£)</t>
        </is>
      </c>
      <c r="J4" s="10" t="inlineStr">
        <is>
          <t>Remaining Fee (£)</t>
        </is>
      </c>
      <c r="K4" s="10" t="inlineStr">
        <is>
          <t>Engagement Manager</t>
        </is>
      </c>
      <c r="L4" s="10" t="inlineStr">
        <is>
          <t>Variance Status</t>
        </is>
      </c>
      <c r="M4" s="10" t="inlineStr">
        <is>
          <t>Reforecast By</t>
        </is>
      </c>
      <c r="N4" s="10" t="inlineStr">
        <is>
          <t>Reforecast Date</t>
        </is>
      </c>
      <c r="O4" s="10" t="inlineStr">
        <is>
          <t>Reforecast Entered?</t>
        </is>
      </c>
      <c r="P4" s="10" t="inlineStr">
        <is>
          <t>Outstanding?</t>
        </is>
      </c>
      <c r="Q4" s="10" t="inlineStr">
        <is>
          <t>Action Note</t>
        </is>
      </c>
    </row>
    <row r="5">
      <c r="A5" s="6" t="inlineStr">
        <is>
          <t>M-1001</t>
        </is>
      </c>
      <c r="B5" s="11" t="n">
        <v>46266</v>
      </c>
      <c r="C5" s="12">
        <f>IF($A5="","",_xlfn._xlws.XLOOKUP($A5,'Matters Register'!$A$5:$A$44,'Matters Register'!$E$5:$E$44,"?"))</f>
        <v>120000</v>
      </c>
      <c r="D5" s="13" t="n">
        <v>12000</v>
      </c>
      <c r="E5" s="14">
        <f>IF($A5="","",SUMIFS($D$5:$D$64,$A$5:$A$64,$A5,$B$5:$B$64,"&lt;="&amp;$B5))</f>
        <v>12000</v>
      </c>
      <c r="F5" s="15">
        <f>IF(OR($A5="",$C5=0,$C5="?"),"",$E5/$C5)</f>
        <v>0.1</v>
      </c>
      <c r="G5" s="16">
        <f>IF($A5="","",IF(COUNTIFS('Month-End Provisions'!$A$5:$A$1004,$A5,'Month-End Provisions'!$B$5:$B$1004,$B5)=0,"",SUMIFS('Month-End Provisions'!$C$5:$C$1004,'Month-End Provisions'!$A$5:$A$1004,$A5,'Month-End Provisions'!$B$5:$B$1004,$B5)))</f>
        <v>12000</v>
      </c>
      <c r="H5" s="17">
        <f>IF(OR($G5="",$D5=""),"",$G5-$D5)</f>
        <v>0</v>
      </c>
      <c r="I5" s="16">
        <f>IF($A5="","",SUMIFS('Month-End Provisions'!$C$5:$C$1004,'Month-End Provisions'!$A$5:$A$1004,$A5,'Month-End Provisions'!$B$5:$B$1004,"&lt;="&amp;$B5))</f>
        <v>12000</v>
      </c>
      <c r="J5" s="14">
        <f>IF(OR($A5="",$C5="?"),"",$C5-$I5)</f>
        <v>108000</v>
      </c>
      <c r="K5" s="18" t="str">
        <f>IF($A5="","",_xlfn._xlws.XLOOKUP($A5,'Matters Register'!$A$5:$A$44,'Matters Register'!$D$5:$D$44,""))</f>
        <v>Priya Shah</v>
      </c>
      <c r="L5" s="6" t="n"/>
      <c r="M5" s="6" t="n"/>
      <c r="N5" s="9" t="n"/>
      <c r="O5" s="19" t="str">
        <f>IF(OR($H5="",$H5=0),"",IF(COUNTIFS($A$5:$A$64,$A5,$B$5:$B$64,"&gt;"&amp;$B5)&gt;0,"Yes","No"))</f>
        <v/>
      </c>
      <c r="P5" s="20" t="str">
        <f>IF(AND($H5&lt;&gt;"",$H5&lt;&gt;0,NOT(OR($L5="Reforecast",$L5="Accepted"))),"YES","")</f>
        <v/>
      </c>
      <c r="Q5" s="21" t="str">
        <f>IF(OR($H5="",$H5=0),"",IF(OR($L5="Reforecast",$L5="Accepted"),"Signed off: "&amp;$L5,IF($O5="Yes","Reforecast entered — confirm sign-off","Awaiting reforecast")))</f>
        <v/>
      </c>
    </row>
    <row r="6">
      <c r="A6" s="6" t="inlineStr">
        <is>
          <t>M-1001</t>
        </is>
      </c>
      <c r="B6" s="11" t="n">
        <v>46296</v>
      </c>
      <c r="C6" s="12">
        <f>IF($A6="","",_xlfn._xlws.XLOOKUP($A6,'Matters Register'!$A$5:$A$44,'Matters Register'!$E$5:$E$44,"?"))</f>
        <v>120000</v>
      </c>
      <c r="D6" s="13" t="n">
        <v>18000</v>
      </c>
      <c r="E6" s="14">
        <f>IF($A6="","",SUMIFS($D$5:$D$64,$A$5:$A$64,$A6,$B$5:$B$64,"&lt;="&amp;$B6))</f>
        <v>30000</v>
      </c>
      <c r="F6" s="15">
        <f>IF(OR($A6="",$C6=0,$C6="?"),"",$E6/$C6)</f>
        <v>0.25</v>
      </c>
      <c r="G6" s="16">
        <f>IF($A6="","",IF(COUNTIFS('Month-End Provisions'!$A$5:$A$1004,$A6,'Month-End Provisions'!$B$5:$B$1004,$B6)=0,"",SUMIFS('Month-End Provisions'!$C$5:$C$1004,'Month-End Provisions'!$A$5:$A$1004,$A6,'Month-End Provisions'!$B$5:$B$1004,$B6)))</f>
        <v>15000</v>
      </c>
      <c r="H6" s="17">
        <f>IF(OR($G6="",$D6=""),"",$G6-$D6)</f>
        <v>-3000</v>
      </c>
      <c r="I6" s="16">
        <f>IF($A6="","",SUMIFS('Month-End Provisions'!$C$5:$C$1004,'Month-End Provisions'!$A$5:$A$1004,$A6,'Month-End Provisions'!$B$5:$B$1004,"&lt;="&amp;$B6))</f>
        <v>27000</v>
      </c>
      <c r="J6" s="14">
        <f>IF(OR($A6="",$C6="?"),"",$C6-$I6)</f>
        <v>93000</v>
      </c>
      <c r="K6" s="18" t="str">
        <f>IF($A6="","",_xlfn._xlws.XLOOKUP($A6,'Matters Register'!$A$5:$A$44,'Matters Register'!$D$5:$D$44,""))</f>
        <v>Priya Shah</v>
      </c>
      <c r="L6" s="6" t="n"/>
      <c r="M6" s="6" t="n"/>
      <c r="N6" s="9" t="n"/>
      <c r="O6" s="19" t="str">
        <f>IF(OR($H6="",$H6=0),"",IF(COUNTIFS($A$5:$A$64,$A6,$B$5:$B$64,"&gt;"&amp;$B6)&gt;0,"Yes","No"))</f>
        <v>Yes</v>
      </c>
      <c r="P6" s="20" t="str">
        <f>IF(AND($H6&lt;&gt;"",$H6&lt;&gt;0,NOT(OR($L6="Reforecast",$L6="Accepted"))),"YES","")</f>
        <v>YES</v>
      </c>
      <c r="Q6" s="21" t="str">
        <f>IF(OR($H6="",$H6=0),"",IF(OR($L6="Reforecast",$L6="Accepted"),"Signed off: "&amp;$L6,IF($O6="Yes","Reforecast entered — confirm sign-off","Awaiting reforecast")))</f>
        <v>Reforecast entered — confirm sign-off</v>
      </c>
    </row>
    <row r="7">
      <c r="A7" s="6" t="inlineStr">
        <is>
          <t>M-1001</t>
        </is>
      </c>
      <c r="B7" s="11" t="n">
        <v>46327</v>
      </c>
      <c r="C7" s="12">
        <f>IF($A7="","",_xlfn._xlws.XLOOKUP($A7,'Matters Register'!$A$5:$A$44,'Matters Register'!$E$5:$E$44,"?"))</f>
        <v>120000</v>
      </c>
      <c r="D7" s="13" t="n">
        <v>24000</v>
      </c>
      <c r="E7" s="14">
        <f>IF($A7="","",SUMIFS($D$5:$D$64,$A$5:$A$64,$A7,$B$5:$B$64,"&lt;="&amp;$B7))</f>
        <v>54000</v>
      </c>
      <c r="F7" s="15">
        <f>IF(OR($A7="",$C7=0,$C7="?"),"",$E7/$C7)</f>
        <v>0.45</v>
      </c>
      <c r="G7" s="16">
        <f>IF($A7="","",IF(COUNTIFS('Month-End Provisions'!$A$5:$A$1004,$A7,'Month-End Provisions'!$B$5:$B$1004,$B7)=0,"",SUMIFS('Month-End Provisions'!$C$5:$C$1004,'Month-End Provisions'!$A$5:$A$1004,$A7,'Month-End Provisions'!$B$5:$B$1004,$B7)))</f>
        <v>26000</v>
      </c>
      <c r="H7" s="17">
        <f>IF(OR($G7="",$D7=""),"",$G7-$D7)</f>
        <v>2000</v>
      </c>
      <c r="I7" s="16">
        <f>IF($A7="","",SUMIFS('Month-End Provisions'!$C$5:$C$1004,'Month-End Provisions'!$A$5:$A$1004,$A7,'Month-End Provisions'!$B$5:$B$1004,"&lt;="&amp;$B7))</f>
        <v>53000</v>
      </c>
      <c r="J7" s="14">
        <f>IF(OR($A7="",$C7="?"),"",$C7-$I7)</f>
        <v>67000</v>
      </c>
      <c r="K7" s="18" t="str">
        <f>IF($A7="","",_xlfn._xlws.XLOOKUP($A7,'Matters Register'!$A$5:$A$44,'Matters Register'!$D$5:$D$44,""))</f>
        <v>Priya Shah</v>
      </c>
      <c r="L7" s="6" t="n"/>
      <c r="M7" s="6" t="n"/>
      <c r="N7" s="9" t="n"/>
      <c r="O7" s="19" t="str">
        <f>IF(OR($H7="",$H7=0),"",IF(COUNTIFS($A$5:$A$64,$A7,$B$5:$B$64,"&gt;"&amp;$B7)&gt;0,"Yes","No"))</f>
        <v>No</v>
      </c>
      <c r="P7" s="20" t="str">
        <f>IF(AND($H7&lt;&gt;"",$H7&lt;&gt;0,NOT(OR($L7="Reforecast",$L7="Accepted"))),"YES","")</f>
        <v>YES</v>
      </c>
      <c r="Q7" s="21" t="str">
        <f>IF(OR($H7="",$H7=0),"",IF(OR($L7="Reforecast",$L7="Accepted"),"Signed off: "&amp;$L7,IF($O7="Yes","Reforecast entered — confirm sign-off","Awaiting reforecast")))</f>
        <v>Awaiting reforecast</v>
      </c>
    </row>
    <row r="8">
      <c r="A8" s="6" t="inlineStr">
        <is>
          <t>M-1002</t>
        </is>
      </c>
      <c r="B8" s="11" t="n">
        <v>46296</v>
      </c>
      <c r="C8" s="12">
        <f>IF($A8="","",_xlfn._xlws.XLOOKUP($A8,'Matters Register'!$A$5:$A$44,'Matters Register'!$E$5:$E$44,"?"))</f>
        <v>90000</v>
      </c>
      <c r="D8" s="13" t="n">
        <v>13500</v>
      </c>
      <c r="E8" s="14">
        <f>IF($A8="","",SUMIFS($D$5:$D$64,$A$5:$A$64,$A8,$B$5:$B$64,"&lt;="&amp;$B8))</f>
        <v>13500</v>
      </c>
      <c r="F8" s="15">
        <f>IF(OR($A8="",$C8=0,$C8="?"),"",$E8/$C8)</f>
        <v>0.15</v>
      </c>
      <c r="G8" s="16">
        <f>IF($A8="","",IF(COUNTIFS('Month-End Provisions'!$A$5:$A$1004,$A8,'Month-End Provisions'!$B$5:$B$1004,$B8)=0,"",SUMIFS('Month-End Provisions'!$C$5:$C$1004,'Month-End Provisions'!$A$5:$A$1004,$A8,'Month-End Provisions'!$B$5:$B$1004,$B8)))</f>
        <v>13500</v>
      </c>
      <c r="H8" s="17">
        <f>IF(OR($G8="",$D8=""),"",$G8-$D8)</f>
        <v>0</v>
      </c>
      <c r="I8" s="16">
        <f>IF($A8="","",SUMIFS('Month-End Provisions'!$C$5:$C$1004,'Month-End Provisions'!$A$5:$A$1004,$A8,'Month-End Provisions'!$B$5:$B$1004,"&lt;="&amp;$B8))</f>
        <v>13500</v>
      </c>
      <c r="J8" s="14">
        <f>IF(OR($A8="",$C8="?"),"",$C8-$I8)</f>
        <v>76500</v>
      </c>
      <c r="K8" s="18" t="str">
        <f>IF($A8="","",_xlfn._xlws.XLOOKUP($A8,'Matters Register'!$A$5:$A$44,'Matters Register'!$D$5:$D$44,""))</f>
        <v>James Okoro</v>
      </c>
      <c r="L8" s="6" t="n"/>
      <c r="M8" s="6" t="n"/>
      <c r="N8" s="9" t="n"/>
      <c r="O8" s="19" t="str">
        <f>IF(OR($H8="",$H8=0),"",IF(COUNTIFS($A$5:$A$64,$A8,$B$5:$B$64,"&gt;"&amp;$B8)&gt;0,"Yes","No"))</f>
        <v/>
      </c>
      <c r="P8" s="20" t="str">
        <f>IF(AND($H8&lt;&gt;"",$H8&lt;&gt;0,NOT(OR($L8="Reforecast",$L8="Accepted"))),"YES","")</f>
        <v/>
      </c>
      <c r="Q8" s="21" t="str">
        <f>IF(OR($H8="",$H8=0),"",IF(OR($L8="Reforecast",$L8="Accepted"),"Signed off: "&amp;$L8,IF($O8="Yes","Reforecast entered — confirm sign-off","Awaiting reforecast")))</f>
        <v/>
      </c>
    </row>
    <row r="9">
      <c r="A9" s="6" t="inlineStr">
        <is>
          <t>M-1002</t>
        </is>
      </c>
      <c r="B9" s="11" t="n">
        <v>46327</v>
      </c>
      <c r="C9" s="12">
        <f>IF($A9="","",_xlfn._xlws.XLOOKUP($A9,'Matters Register'!$A$5:$A$44,'Matters Register'!$E$5:$E$44,"?"))</f>
        <v>90000</v>
      </c>
      <c r="D9" s="13" t="n">
        <v>13500</v>
      </c>
      <c r="E9" s="14">
        <f>IF($A9="","",SUMIFS($D$5:$D$64,$A$5:$A$64,$A9,$B$5:$B$64,"&lt;="&amp;$B9))</f>
        <v>27000</v>
      </c>
      <c r="F9" s="15">
        <f>IF(OR($A9="",$C9=0,$C9="?"),"",$E9/$C9)</f>
        <v>0.3</v>
      </c>
      <c r="G9" s="16" t="str">
        <f>IF($A9="","",IF(COUNTIFS('Month-End Provisions'!$A$5:$A$1004,$A9,'Month-End Provisions'!$B$5:$B$1004,$B9)=0,"",SUMIFS('Month-End Provisions'!$C$5:$C$1004,'Month-End Provisions'!$A$5:$A$1004,$A9,'Month-End Provisions'!$B$5:$B$1004,$B9)))</f>
        <v/>
      </c>
      <c r="H9" s="17" t="str">
        <f>IF(OR($G9="",$D9=""),"",$G9-$D9)</f>
        <v/>
      </c>
      <c r="I9" s="16">
        <f>IF($A9="","",SUMIFS('Month-End Provisions'!$C$5:$C$1004,'Month-End Provisions'!$A$5:$A$1004,$A9,'Month-End Provisions'!$B$5:$B$1004,"&lt;="&amp;$B9))</f>
        <v>13500</v>
      </c>
      <c r="J9" s="14">
        <f>IF(OR($A9="",$C9="?"),"",$C9-$I9)</f>
        <v>76500</v>
      </c>
      <c r="K9" s="18" t="str">
        <f>IF($A9="","",_xlfn._xlws.XLOOKUP($A9,'Matters Register'!$A$5:$A$44,'Matters Register'!$D$5:$D$44,""))</f>
        <v>James Okoro</v>
      </c>
      <c r="L9" s="6" t="n"/>
      <c r="M9" s="6" t="n"/>
      <c r="N9" s="9" t="n"/>
      <c r="O9" s="19" t="str">
        <f>IF(OR($H9="",$H9=0),"",IF(COUNTIFS($A$5:$A$64,$A9,$B$5:$B$64,"&gt;"&amp;$B9)&gt;0,"Yes","No"))</f>
        <v/>
      </c>
      <c r="P9" s="20" t="str">
        <f>IF(AND($H9&lt;&gt;"",$H9&lt;&gt;0,NOT(OR($L9="Reforecast",$L9="Accepted"))),"YES","")</f>
        <v/>
      </c>
      <c r="Q9" s="21" t="str">
        <f>IF(OR($H9="",$H9=0),"",IF(OR($L9="Reforecast",$L9="Accepted"),"Signed off: "&amp;$L9,IF($O9="Yes","Reforecast entered — confirm sign-off","Awaiting reforecast")))</f>
        <v/>
      </c>
    </row>
    <row r="10">
      <c r="A10" s="6" t="inlineStr">
        <is>
          <t>M-1003</t>
        </is>
      </c>
      <c r="B10" s="11" t="n">
        <v>46266</v>
      </c>
      <c r="C10" s="12">
        <f>IF($A10="","",_xlfn._xlws.XLOOKUP($A10,'Matters Register'!$A$5:$A$44,'Matters Register'!$E$5:$E$44,"?"))</f>
        <v>60000</v>
      </c>
      <c r="D10" s="13" t="n">
        <v>12000</v>
      </c>
      <c r="E10" s="14">
        <f>IF($A10="","",SUMIFS($D$5:$D$64,$A$5:$A$64,$A10,$B$5:$B$64,"&lt;="&amp;$B10))</f>
        <v>12000</v>
      </c>
      <c r="F10" s="15">
        <f>IF(OR($A10="",$C10=0,$C10="?"),"",$E10/$C10)</f>
        <v>0.2</v>
      </c>
      <c r="G10" s="16">
        <f>IF($A10="","",IF(COUNTIFS('Month-End Provisions'!$A$5:$A$1004,$A10,'Month-End Provisions'!$B$5:$B$1004,$B10)=0,"",SUMIFS('Month-End Provisions'!$C$5:$C$1004,'Month-End Provisions'!$A$5:$A$1004,$A10,'Month-End Provisions'!$B$5:$B$1004,$B10)))</f>
        <v>12000</v>
      </c>
      <c r="H10" s="17">
        <f>IF(OR($G10="",$D10=""),"",$G10-$D10)</f>
        <v>0</v>
      </c>
      <c r="I10" s="16">
        <f>IF($A10="","",SUMIFS('Month-End Provisions'!$C$5:$C$1004,'Month-End Provisions'!$A$5:$A$1004,$A10,'Month-End Provisions'!$B$5:$B$1004,"&lt;="&amp;$B10))</f>
        <v>12000</v>
      </c>
      <c r="J10" s="14">
        <f>IF(OR($A10="",$C10="?"),"",$C10-$I10)</f>
        <v>48000</v>
      </c>
      <c r="K10" s="18" t="str">
        <f>IF($A10="","",_xlfn._xlws.XLOOKUP($A10,'Matters Register'!$A$5:$A$44,'Matters Register'!$D$5:$D$44,""))</f>
        <v>Priya Shah</v>
      </c>
      <c r="L10" s="6" t="n"/>
      <c r="M10" s="6" t="n"/>
      <c r="N10" s="9" t="n"/>
      <c r="O10" s="19" t="str">
        <f>IF(OR($H10="",$H10=0),"",IF(COUNTIFS($A$5:$A$64,$A10,$B$5:$B$64,"&gt;"&amp;$B10)&gt;0,"Yes","No"))</f>
        <v/>
      </c>
      <c r="P10" s="20" t="str">
        <f>IF(AND($H10&lt;&gt;"",$H10&lt;&gt;0,NOT(OR($L10="Reforecast",$L10="Accepted"))),"YES","")</f>
        <v/>
      </c>
      <c r="Q10" s="21" t="str">
        <f>IF(OR($H10="",$H10=0),"",IF(OR($L10="Reforecast",$L10="Accepted"),"Signed off: "&amp;$L10,IF($O10="Yes","Reforecast entered — confirm sign-off","Awaiting reforecast")))</f>
        <v/>
      </c>
    </row>
    <row r="11">
      <c r="A11" s="6" t="inlineStr">
        <is>
          <t>M-1003</t>
        </is>
      </c>
      <c r="B11" s="11" t="n">
        <v>46296</v>
      </c>
      <c r="C11" s="12">
        <f>IF($A11="","",_xlfn._xlws.XLOOKUP($A11,'Matters Register'!$A$5:$A$44,'Matters Register'!$E$5:$E$44,"?"))</f>
        <v>60000</v>
      </c>
      <c r="D11" s="13" t="n">
        <v>12000</v>
      </c>
      <c r="E11" s="14">
        <f>IF($A11="","",SUMIFS($D$5:$D$64,$A$5:$A$64,$A11,$B$5:$B$64,"&lt;="&amp;$B11))</f>
        <v>24000</v>
      </c>
      <c r="F11" s="15">
        <f>IF(OR($A11="",$C11=0,$C11="?"),"",$E11/$C11)</f>
        <v>0.4</v>
      </c>
      <c r="G11" s="16">
        <f>IF($A11="","",IF(COUNTIFS('Month-End Provisions'!$A$5:$A$1004,$A11,'Month-End Provisions'!$B$5:$B$1004,$B11)=0,"",SUMIFS('Month-End Provisions'!$C$5:$C$1004,'Month-End Provisions'!$A$5:$A$1004,$A11,'Month-End Provisions'!$B$5:$B$1004,$B11)))</f>
        <v>11000</v>
      </c>
      <c r="H11" s="17">
        <f>IF(OR($G11="",$D11=""),"",$G11-$D11)</f>
        <v>-1000</v>
      </c>
      <c r="I11" s="16">
        <f>IF($A11="","",SUMIFS('Month-End Provisions'!$C$5:$C$1004,'Month-End Provisions'!$A$5:$A$1004,$A11,'Month-End Provisions'!$B$5:$B$1004,"&lt;="&amp;$B11))</f>
        <v>23000</v>
      </c>
      <c r="J11" s="14">
        <f>IF(OR($A11="",$C11="?"),"",$C11-$I11)</f>
        <v>37000</v>
      </c>
      <c r="K11" s="18" t="str">
        <f>IF($A11="","",_xlfn._xlws.XLOOKUP($A11,'Matters Register'!$A$5:$A$44,'Matters Register'!$D$5:$D$44,""))</f>
        <v>Priya Shah</v>
      </c>
      <c r="L11" s="6" t="inlineStr">
        <is>
          <t>Reforecast</t>
        </is>
      </c>
      <c r="M11" s="6" t="inlineStr">
        <is>
          <t>PS</t>
        </is>
      </c>
      <c r="N11" s="9" t="n">
        <v>46330</v>
      </c>
      <c r="O11" s="19" t="str">
        <f>IF(OR($H11="",$H11=0),"",IF(COUNTIFS($A$5:$A$64,$A11,$B$5:$B$64,"&gt;"&amp;$B11)&gt;0,"Yes","No"))</f>
        <v>Yes</v>
      </c>
      <c r="P11" s="20" t="str">
        <f>IF(AND($H11&lt;&gt;"",$H11&lt;&gt;0,NOT(OR($L11="Reforecast",$L11="Accepted"))),"YES","")</f>
        <v/>
      </c>
      <c r="Q11" s="21" t="str">
        <f>IF(OR($H11="",$H11=0),"",IF(OR($L11="Reforecast",$L11="Accepted"),"Signed off: "&amp;$L11,IF($O11="Yes","Reforecast entered — confirm sign-off","Awaiting reforecast")))</f>
        <v>Signed off: Reforecast</v>
      </c>
    </row>
    <row r="12">
      <c r="A12" s="6" t="inlineStr">
        <is>
          <t>M-1003</t>
        </is>
      </c>
      <c r="B12" s="11" t="n">
        <v>46327</v>
      </c>
      <c r="C12" s="12">
        <f>IF($A12="","",_xlfn._xlws.XLOOKUP($A12,'Matters Register'!$A$5:$A$44,'Matters Register'!$E$5:$E$44,"?"))</f>
        <v>60000</v>
      </c>
      <c r="D12" s="13" t="n">
        <v>15000</v>
      </c>
      <c r="E12" s="14">
        <f>IF($A12="","",SUMIFS($D$5:$D$64,$A$5:$A$64,$A12,$B$5:$B$64,"&lt;="&amp;$B12))</f>
        <v>39000</v>
      </c>
      <c r="F12" s="15">
        <f>IF(OR($A12="",$C12=0,$C12="?"),"",$E12/$C12)</f>
        <v>0.65</v>
      </c>
      <c r="G12" s="16" t="str">
        <f>IF($A12="","",IF(COUNTIFS('Month-End Provisions'!$A$5:$A$1004,$A12,'Month-End Provisions'!$B$5:$B$1004,$B12)=0,"",SUMIFS('Month-End Provisions'!$C$5:$C$1004,'Month-End Provisions'!$A$5:$A$1004,$A12,'Month-End Provisions'!$B$5:$B$1004,$B12)))</f>
        <v/>
      </c>
      <c r="H12" s="17" t="str">
        <f>IF(OR($G12="",$D12=""),"",$G12-$D12)</f>
        <v/>
      </c>
      <c r="I12" s="16">
        <f>IF($A12="","",SUMIFS('Month-End Provisions'!$C$5:$C$1004,'Month-End Provisions'!$A$5:$A$1004,$A12,'Month-End Provisions'!$B$5:$B$1004,"&lt;="&amp;$B12))</f>
        <v>23000</v>
      </c>
      <c r="J12" s="14">
        <f>IF(OR($A12="",$C12="?"),"",$C12-$I12)</f>
        <v>37000</v>
      </c>
      <c r="K12" s="18" t="str">
        <f>IF($A12="","",_xlfn._xlws.XLOOKUP($A12,'Matters Register'!$A$5:$A$44,'Matters Register'!$D$5:$D$44,""))</f>
        <v>Priya Shah</v>
      </c>
      <c r="L12" s="6" t="n"/>
      <c r="M12" s="6" t="n"/>
      <c r="N12" s="9" t="n"/>
      <c r="O12" s="19" t="str">
        <f>IF(OR($H12="",$H12=0),"",IF(COUNTIFS($A$5:$A$64,$A12,$B$5:$B$64,"&gt;"&amp;$B12)&gt;0,"Yes","No"))</f>
        <v/>
      </c>
      <c r="P12" s="20" t="str">
        <f>IF(AND($H12&lt;&gt;"",$H12&lt;&gt;0,NOT(OR($L12="Reforecast",$L12="Accepted"))),"YES","")</f>
        <v/>
      </c>
      <c r="Q12" s="21" t="str">
        <f>IF(OR($H12="",$H12=0),"",IF(OR($L12="Reforecast",$L12="Accepted"),"Signed off: "&amp;$L12,IF($O12="Yes","Reforecast entered — confirm sign-off","Awaiting reforecast")))</f>
        <v/>
      </c>
    </row>
    <row r="13">
      <c r="A13" s="6" t="n"/>
      <c r="B13" s="11" t="n"/>
      <c r="C13" s="12" t="str">
        <f>IF($A13="","",_xlfn._xlws.XLOOKUP($A13,'Matters Register'!$A$5:$A$44,'Matters Register'!$E$5:$E$44,"?"))</f>
        <v/>
      </c>
      <c r="D13" s="13" t="n"/>
      <c r="E13" s="14" t="str">
        <f>IF($A13="","",SUMIFS($D$5:$D$64,$A$5:$A$64,$A13,$B$5:$B$64,"&lt;="&amp;$B13))</f>
        <v/>
      </c>
      <c r="F13" s="15" t="str">
        <f>IF(OR($A13="",$C13=0,$C13="?"),"",$E13/$C13)</f>
        <v/>
      </c>
      <c r="G13" s="16" t="str">
        <f>IF($A13="","",IF(COUNTIFS('Month-End Provisions'!$A$5:$A$1004,$A13,'Month-End Provisions'!$B$5:$B$1004,$B13)=0,"",SUMIFS('Month-End Provisions'!$C$5:$C$1004,'Month-End Provisions'!$A$5:$A$1004,$A13,'Month-End Provisions'!$B$5:$B$1004,$B13)))</f>
        <v/>
      </c>
      <c r="H13" s="17" t="str">
        <f>IF(OR($G13="",$D13=""),"",$G13-$D13)</f>
        <v/>
      </c>
      <c r="I13" s="16" t="str">
        <f>IF($A13="","",SUMIFS('Month-End Provisions'!$C$5:$C$1004,'Month-End Provisions'!$A$5:$A$1004,$A13,'Month-End Provisions'!$B$5:$B$1004,"&lt;="&amp;$B13))</f>
        <v/>
      </c>
      <c r="J13" s="14" t="str">
        <f>IF(OR($A13="",$C13="?"),"",$C13-$I13)</f>
        <v/>
      </c>
      <c r="K13" s="18" t="str">
        <f>IF($A13="","",_xlfn._xlws.XLOOKUP($A13,'Matters Register'!$A$5:$A$44,'Matters Register'!$D$5:$D$44,""))</f>
        <v/>
      </c>
      <c r="L13" s="6" t="n"/>
      <c r="M13" s="6" t="n"/>
      <c r="N13" s="9" t="n"/>
      <c r="O13" s="19" t="str">
        <f>IF(OR($H13="",$H13=0),"",IF(COUNTIFS($A$5:$A$64,$A13,$B$5:$B$64,"&gt;"&amp;$B13)&gt;0,"Yes","No"))</f>
        <v/>
      </c>
      <c r="P13" s="20" t="str">
        <f>IF(AND($H13&lt;&gt;"",$H13&lt;&gt;0,NOT(OR($L13="Reforecast",$L13="Accepted"))),"YES","")</f>
        <v/>
      </c>
      <c r="Q13" s="21" t="str">
        <f>IF(OR($H13="",$H13=0),"",IF(OR($L13="Reforecast",$L13="Accepted"),"Signed off: "&amp;$L13,IF($O13="Yes","Reforecast entered — confirm sign-off","Awaiting reforecast")))</f>
        <v/>
      </c>
    </row>
    <row r="14">
      <c r="A14" s="6" t="n"/>
      <c r="B14" s="11" t="n"/>
      <c r="C14" s="12" t="str">
        <f>IF($A14="","",_xlfn._xlws.XLOOKUP($A14,'Matters Register'!$A$5:$A$44,'Matters Register'!$E$5:$E$44,"?"))</f>
        <v/>
      </c>
      <c r="D14" s="13" t="n"/>
      <c r="E14" s="14" t="str">
        <f>IF($A14="","",SUMIFS($D$5:$D$64,$A$5:$A$64,$A14,$B$5:$B$64,"&lt;="&amp;$B14))</f>
        <v/>
      </c>
      <c r="F14" s="15" t="str">
        <f>IF(OR($A14="",$C14=0,$C14="?"),"",$E14/$C14)</f>
        <v/>
      </c>
      <c r="G14" s="16" t="str">
        <f>IF($A14="","",IF(COUNTIFS('Month-End Provisions'!$A$5:$A$1004,$A14,'Month-End Provisions'!$B$5:$B$1004,$B14)=0,"",SUMIFS('Month-End Provisions'!$C$5:$C$1004,'Month-End Provisions'!$A$5:$A$1004,$A14,'Month-End Provisions'!$B$5:$B$1004,$B14)))</f>
        <v/>
      </c>
      <c r="H14" s="17" t="str">
        <f>IF(OR($G14="",$D14=""),"",$G14-$D14)</f>
        <v/>
      </c>
      <c r="I14" s="16" t="str">
        <f>IF($A14="","",SUMIFS('Month-End Provisions'!$C$5:$C$1004,'Month-End Provisions'!$A$5:$A$1004,$A14,'Month-End Provisions'!$B$5:$B$1004,"&lt;="&amp;$B14))</f>
        <v/>
      </c>
      <c r="J14" s="14" t="str">
        <f>IF(OR($A14="",$C14="?"),"",$C14-$I14)</f>
        <v/>
      </c>
      <c r="K14" s="18" t="str">
        <f>IF($A14="","",_xlfn._xlws.XLOOKUP($A14,'Matters Register'!$A$5:$A$44,'Matters Register'!$D$5:$D$44,""))</f>
        <v/>
      </c>
      <c r="L14" s="6" t="n"/>
      <c r="M14" s="6" t="n"/>
      <c r="N14" s="9" t="n"/>
      <c r="O14" s="19" t="str">
        <f>IF(OR($H14="",$H14=0),"",IF(COUNTIFS($A$5:$A$64,$A14,$B$5:$B$64,"&gt;"&amp;$B14)&gt;0,"Yes","No"))</f>
        <v/>
      </c>
      <c r="P14" s="20" t="str">
        <f>IF(AND($H14&lt;&gt;"",$H14&lt;&gt;0,NOT(OR($L14="Reforecast",$L14="Accepted"))),"YES","")</f>
        <v/>
      </c>
      <c r="Q14" s="21" t="str">
        <f>IF(OR($H14="",$H14=0),"",IF(OR($L14="Reforecast",$L14="Accepted"),"Signed off: "&amp;$L14,IF($O14="Yes","Reforecast entered — confirm sign-off","Awaiting reforecast")))</f>
        <v/>
      </c>
    </row>
    <row r="15">
      <c r="A15" s="6" t="n"/>
      <c r="B15" s="11" t="n"/>
      <c r="C15" s="12" t="str">
        <f>IF($A15="","",_xlfn._xlws.XLOOKUP($A15,'Matters Register'!$A$5:$A$44,'Matters Register'!$E$5:$E$44,"?"))</f>
        <v/>
      </c>
      <c r="D15" s="13" t="n"/>
      <c r="E15" s="14" t="str">
        <f>IF($A15="","",SUMIFS($D$5:$D$64,$A$5:$A$64,$A15,$B$5:$B$64,"&lt;="&amp;$B15))</f>
        <v/>
      </c>
      <c r="F15" s="15" t="str">
        <f>IF(OR($A15="",$C15=0,$C15="?"),"",$E15/$C15)</f>
        <v/>
      </c>
      <c r="G15" s="16" t="str">
        <f>IF($A15="","",IF(COUNTIFS('Month-End Provisions'!$A$5:$A$1004,$A15,'Month-End Provisions'!$B$5:$B$1004,$B15)=0,"",SUMIFS('Month-End Provisions'!$C$5:$C$1004,'Month-End Provisions'!$A$5:$A$1004,$A15,'Month-End Provisions'!$B$5:$B$1004,$B15)))</f>
        <v/>
      </c>
      <c r="H15" s="17" t="str">
        <f>IF(OR($G15="",$D15=""),"",$G15-$D15)</f>
        <v/>
      </c>
      <c r="I15" s="16" t="str">
        <f>IF($A15="","",SUMIFS('Month-End Provisions'!$C$5:$C$1004,'Month-End Provisions'!$A$5:$A$1004,$A15,'Month-End Provisions'!$B$5:$B$1004,"&lt;="&amp;$B15))</f>
        <v/>
      </c>
      <c r="J15" s="14" t="str">
        <f>IF(OR($A15="",$C15="?"),"",$C15-$I15)</f>
        <v/>
      </c>
      <c r="K15" s="18" t="str">
        <f>IF($A15="","",_xlfn._xlws.XLOOKUP($A15,'Matters Register'!$A$5:$A$44,'Matters Register'!$D$5:$D$44,""))</f>
        <v/>
      </c>
      <c r="L15" s="6" t="n"/>
      <c r="M15" s="6" t="n"/>
      <c r="N15" s="9" t="n"/>
      <c r="O15" s="19" t="str">
        <f>IF(OR($H15="",$H15=0),"",IF(COUNTIFS($A$5:$A$64,$A15,$B$5:$B$64,"&gt;"&amp;$B15)&gt;0,"Yes","No"))</f>
        <v/>
      </c>
      <c r="P15" s="20" t="str">
        <f>IF(AND($H15&lt;&gt;"",$H15&lt;&gt;0,NOT(OR($L15="Reforecast",$L15="Accepted"))),"YES","")</f>
        <v/>
      </c>
      <c r="Q15" s="21" t="str">
        <f>IF(OR($H15="",$H15=0),"",IF(OR($L15="Reforecast",$L15="Accepted"),"Signed off: "&amp;$L15,IF($O15="Yes","Reforecast entered — confirm sign-off","Awaiting reforecast")))</f>
        <v/>
      </c>
    </row>
    <row r="16">
      <c r="A16" s="6" t="n"/>
      <c r="B16" s="11" t="n"/>
      <c r="C16" s="12" t="str">
        <f>IF($A16="","",_xlfn._xlws.XLOOKUP($A16,'Matters Register'!$A$5:$A$44,'Matters Register'!$E$5:$E$44,"?"))</f>
        <v/>
      </c>
      <c r="D16" s="13" t="n"/>
      <c r="E16" s="14" t="str">
        <f>IF($A16="","",SUMIFS($D$5:$D$64,$A$5:$A$64,$A16,$B$5:$B$64,"&lt;="&amp;$B16))</f>
        <v/>
      </c>
      <c r="F16" s="15" t="str">
        <f>IF(OR($A16="",$C16=0,$C16="?"),"",$E16/$C16)</f>
        <v/>
      </c>
      <c r="G16" s="16" t="str">
        <f>IF($A16="","",IF(COUNTIFS('Month-End Provisions'!$A$5:$A$1004,$A16,'Month-End Provisions'!$B$5:$B$1004,$B16)=0,"",SUMIFS('Month-End Provisions'!$C$5:$C$1004,'Month-End Provisions'!$A$5:$A$1004,$A16,'Month-End Provisions'!$B$5:$B$1004,$B16)))</f>
        <v/>
      </c>
      <c r="H16" s="17" t="str">
        <f>IF(OR($G16="",$D16=""),"",$G16-$D16)</f>
        <v/>
      </c>
      <c r="I16" s="16" t="str">
        <f>IF($A16="","",SUMIFS('Month-End Provisions'!$C$5:$C$1004,'Month-End Provisions'!$A$5:$A$1004,$A16,'Month-End Provisions'!$B$5:$B$1004,"&lt;="&amp;$B16))</f>
        <v/>
      </c>
      <c r="J16" s="14" t="str">
        <f>IF(OR($A16="",$C16="?"),"",$C16-$I16)</f>
        <v/>
      </c>
      <c r="K16" s="18" t="str">
        <f>IF($A16="","",_xlfn._xlws.XLOOKUP($A16,'Matters Register'!$A$5:$A$44,'Matters Register'!$D$5:$D$44,""))</f>
        <v/>
      </c>
      <c r="L16" s="6" t="n"/>
      <c r="M16" s="6" t="n"/>
      <c r="N16" s="9" t="n"/>
      <c r="O16" s="19" t="str">
        <f>IF(OR($H16="",$H16=0),"",IF(COUNTIFS($A$5:$A$64,$A16,$B$5:$B$64,"&gt;"&amp;$B16)&gt;0,"Yes","No"))</f>
        <v/>
      </c>
      <c r="P16" s="20" t="str">
        <f>IF(AND($H16&lt;&gt;"",$H16&lt;&gt;0,NOT(OR($L16="Reforecast",$L16="Accepted"))),"YES","")</f>
        <v/>
      </c>
      <c r="Q16" s="21" t="str">
        <f>IF(OR($H16="",$H16=0),"",IF(OR($L16="Reforecast",$L16="Accepted"),"Signed off: "&amp;$L16,IF($O16="Yes","Reforecast entered — confirm sign-off","Awaiting reforecast")))</f>
        <v/>
      </c>
    </row>
    <row r="17">
      <c r="A17" s="6" t="n"/>
      <c r="B17" s="11" t="n"/>
      <c r="C17" s="12" t="str">
        <f>IF($A17="","",_xlfn._xlws.XLOOKUP($A17,'Matters Register'!$A$5:$A$44,'Matters Register'!$E$5:$E$44,"?"))</f>
        <v/>
      </c>
      <c r="D17" s="13" t="n"/>
      <c r="E17" s="14" t="str">
        <f>IF($A17="","",SUMIFS($D$5:$D$64,$A$5:$A$64,$A17,$B$5:$B$64,"&lt;="&amp;$B17))</f>
        <v/>
      </c>
      <c r="F17" s="15" t="str">
        <f>IF(OR($A17="",$C17=0,$C17="?"),"",$E17/$C17)</f>
        <v/>
      </c>
      <c r="G17" s="16" t="str">
        <f>IF($A17="","",IF(COUNTIFS('Month-End Provisions'!$A$5:$A$1004,$A17,'Month-End Provisions'!$B$5:$B$1004,$B17)=0,"",SUMIFS('Month-End Provisions'!$C$5:$C$1004,'Month-End Provisions'!$A$5:$A$1004,$A17,'Month-End Provisions'!$B$5:$B$1004,$B17)))</f>
        <v/>
      </c>
      <c r="H17" s="17" t="str">
        <f>IF(OR($G17="",$D17=""),"",$G17-$D17)</f>
        <v/>
      </c>
      <c r="I17" s="16" t="str">
        <f>IF($A17="","",SUMIFS('Month-End Provisions'!$C$5:$C$1004,'Month-End Provisions'!$A$5:$A$1004,$A17,'Month-End Provisions'!$B$5:$B$1004,"&lt;="&amp;$B17))</f>
        <v/>
      </c>
      <c r="J17" s="14" t="str">
        <f>IF(OR($A17="",$C17="?"),"",$C17-$I17)</f>
        <v/>
      </c>
      <c r="K17" s="18" t="str">
        <f>IF($A17="","",_xlfn._xlws.XLOOKUP($A17,'Matters Register'!$A$5:$A$44,'Matters Register'!$D$5:$D$44,""))</f>
        <v/>
      </c>
      <c r="L17" s="6" t="n"/>
      <c r="M17" s="6" t="n"/>
      <c r="N17" s="9" t="n"/>
      <c r="O17" s="19" t="str">
        <f>IF(OR($H17="",$H17=0),"",IF(COUNTIFS($A$5:$A$64,$A17,$B$5:$B$64,"&gt;"&amp;$B17)&gt;0,"Yes","No"))</f>
        <v/>
      </c>
      <c r="P17" s="20" t="str">
        <f>IF(AND($H17&lt;&gt;"",$H17&lt;&gt;0,NOT(OR($L17="Reforecast",$L17="Accepted"))),"YES","")</f>
        <v/>
      </c>
      <c r="Q17" s="21" t="str">
        <f>IF(OR($H17="",$H17=0),"",IF(OR($L17="Reforecast",$L17="Accepted"),"Signed off: "&amp;$L17,IF($O17="Yes","Reforecast entered — confirm sign-off","Awaiting reforecast")))</f>
        <v/>
      </c>
    </row>
    <row r="18">
      <c r="A18" s="6" t="n"/>
      <c r="B18" s="11" t="n"/>
      <c r="C18" s="12" t="str">
        <f>IF($A18="","",_xlfn._xlws.XLOOKUP($A18,'Matters Register'!$A$5:$A$44,'Matters Register'!$E$5:$E$44,"?"))</f>
        <v/>
      </c>
      <c r="D18" s="13" t="n"/>
      <c r="E18" s="14" t="str">
        <f>IF($A18="","",SUMIFS($D$5:$D$64,$A$5:$A$64,$A18,$B$5:$B$64,"&lt;="&amp;$B18))</f>
        <v/>
      </c>
      <c r="F18" s="15" t="str">
        <f>IF(OR($A18="",$C18=0,$C18="?"),"",$E18/$C18)</f>
        <v/>
      </c>
      <c r="G18" s="16" t="str">
        <f>IF($A18="","",IF(COUNTIFS('Month-End Provisions'!$A$5:$A$1004,$A18,'Month-End Provisions'!$B$5:$B$1004,$B18)=0,"",SUMIFS('Month-End Provisions'!$C$5:$C$1004,'Month-End Provisions'!$A$5:$A$1004,$A18,'Month-End Provisions'!$B$5:$B$1004,$B18)))</f>
        <v/>
      </c>
      <c r="H18" s="17" t="str">
        <f>IF(OR($G18="",$D18=""),"",$G18-$D18)</f>
        <v/>
      </c>
      <c r="I18" s="16" t="str">
        <f>IF($A18="","",SUMIFS('Month-End Provisions'!$C$5:$C$1004,'Month-End Provisions'!$A$5:$A$1004,$A18,'Month-End Provisions'!$B$5:$B$1004,"&lt;="&amp;$B18))</f>
        <v/>
      </c>
      <c r="J18" s="14" t="str">
        <f>IF(OR($A18="",$C18="?"),"",$C18-$I18)</f>
        <v/>
      </c>
      <c r="K18" s="18" t="str">
        <f>IF($A18="","",_xlfn._xlws.XLOOKUP($A18,'Matters Register'!$A$5:$A$44,'Matters Register'!$D$5:$D$44,""))</f>
        <v/>
      </c>
      <c r="L18" s="6" t="n"/>
      <c r="M18" s="6" t="n"/>
      <c r="N18" s="9" t="n"/>
      <c r="O18" s="19" t="str">
        <f>IF(OR($H18="",$H18=0),"",IF(COUNTIFS($A$5:$A$64,$A18,$B$5:$B$64,"&gt;"&amp;$B18)&gt;0,"Yes","No"))</f>
        <v/>
      </c>
      <c r="P18" s="20" t="str">
        <f>IF(AND($H18&lt;&gt;"",$H18&lt;&gt;0,NOT(OR($L18="Reforecast",$L18="Accepted"))),"YES","")</f>
        <v/>
      </c>
      <c r="Q18" s="21" t="str">
        <f>IF(OR($H18="",$H18=0),"",IF(OR($L18="Reforecast",$L18="Accepted"),"Signed off: "&amp;$L18,IF($O18="Yes","Reforecast entered — confirm sign-off","Awaiting reforecast")))</f>
        <v/>
      </c>
    </row>
    <row r="19">
      <c r="A19" s="6" t="n"/>
      <c r="B19" s="11" t="n"/>
      <c r="C19" s="12" t="str">
        <f>IF($A19="","",_xlfn._xlws.XLOOKUP($A19,'Matters Register'!$A$5:$A$44,'Matters Register'!$E$5:$E$44,"?"))</f>
        <v/>
      </c>
      <c r="D19" s="13" t="n"/>
      <c r="E19" s="14" t="str">
        <f>IF($A19="","",SUMIFS($D$5:$D$64,$A$5:$A$64,$A19,$B$5:$B$64,"&lt;="&amp;$B19))</f>
        <v/>
      </c>
      <c r="F19" s="15" t="str">
        <f>IF(OR($A19="",$C19=0,$C19="?"),"",$E19/$C19)</f>
        <v/>
      </c>
      <c r="G19" s="16" t="str">
        <f>IF($A19="","",IF(COUNTIFS('Month-End Provisions'!$A$5:$A$1004,$A19,'Month-End Provisions'!$B$5:$B$1004,$B19)=0,"",SUMIFS('Month-End Provisions'!$C$5:$C$1004,'Month-End Provisions'!$A$5:$A$1004,$A19,'Month-End Provisions'!$B$5:$B$1004,$B19)))</f>
        <v/>
      </c>
      <c r="H19" s="17" t="str">
        <f>IF(OR($G19="",$D19=""),"",$G19-$D19)</f>
        <v/>
      </c>
      <c r="I19" s="16" t="str">
        <f>IF($A19="","",SUMIFS('Month-End Provisions'!$C$5:$C$1004,'Month-End Provisions'!$A$5:$A$1004,$A19,'Month-End Provisions'!$B$5:$B$1004,"&lt;="&amp;$B19))</f>
        <v/>
      </c>
      <c r="J19" s="14" t="str">
        <f>IF(OR($A19="",$C19="?"),"",$C19-$I19)</f>
        <v/>
      </c>
      <c r="K19" s="18" t="str">
        <f>IF($A19="","",_xlfn._xlws.XLOOKUP($A19,'Matters Register'!$A$5:$A$44,'Matters Register'!$D$5:$D$44,""))</f>
        <v/>
      </c>
      <c r="L19" s="6" t="n"/>
      <c r="M19" s="6" t="n"/>
      <c r="N19" s="9" t="n"/>
      <c r="O19" s="19" t="str">
        <f>IF(OR($H19="",$H19=0),"",IF(COUNTIFS($A$5:$A$64,$A19,$B$5:$B$64,"&gt;"&amp;$B19)&gt;0,"Yes","No"))</f>
        <v/>
      </c>
      <c r="P19" s="20" t="str">
        <f>IF(AND($H19&lt;&gt;"",$H19&lt;&gt;0,NOT(OR($L19="Reforecast",$L19="Accepted"))),"YES","")</f>
        <v/>
      </c>
      <c r="Q19" s="21" t="str">
        <f>IF(OR($H19="",$H19=0),"",IF(OR($L19="Reforecast",$L19="Accepted"),"Signed off: "&amp;$L19,IF($O19="Yes","Reforecast entered — confirm sign-off","Awaiting reforecast")))</f>
        <v/>
      </c>
    </row>
    <row r="20">
      <c r="A20" s="6" t="n"/>
      <c r="B20" s="11" t="n"/>
      <c r="C20" s="12" t="str">
        <f>IF($A20="","",_xlfn._xlws.XLOOKUP($A20,'Matters Register'!$A$5:$A$44,'Matters Register'!$E$5:$E$44,"?"))</f>
        <v/>
      </c>
      <c r="D20" s="13" t="n"/>
      <c r="E20" s="14" t="str">
        <f>IF($A20="","",SUMIFS($D$5:$D$64,$A$5:$A$64,$A20,$B$5:$B$64,"&lt;="&amp;$B20))</f>
        <v/>
      </c>
      <c r="F20" s="15" t="str">
        <f>IF(OR($A20="",$C20=0,$C20="?"),"",$E20/$C20)</f>
        <v/>
      </c>
      <c r="G20" s="16" t="str">
        <f>IF($A20="","",IF(COUNTIFS('Month-End Provisions'!$A$5:$A$1004,$A20,'Month-End Provisions'!$B$5:$B$1004,$B20)=0,"",SUMIFS('Month-End Provisions'!$C$5:$C$1004,'Month-End Provisions'!$A$5:$A$1004,$A20,'Month-End Provisions'!$B$5:$B$1004,$B20)))</f>
        <v/>
      </c>
      <c r="H20" s="17" t="str">
        <f>IF(OR($G20="",$D20=""),"",$G20-$D20)</f>
        <v/>
      </c>
      <c r="I20" s="16" t="str">
        <f>IF($A20="","",SUMIFS('Month-End Provisions'!$C$5:$C$1004,'Month-End Provisions'!$A$5:$A$1004,$A20,'Month-End Provisions'!$B$5:$B$1004,"&lt;="&amp;$B20))</f>
        <v/>
      </c>
      <c r="J20" s="14" t="str">
        <f>IF(OR($A20="",$C20="?"),"",$C20-$I20)</f>
        <v/>
      </c>
      <c r="K20" s="18" t="str">
        <f>IF($A20="","",_xlfn._xlws.XLOOKUP($A20,'Matters Register'!$A$5:$A$44,'Matters Register'!$D$5:$D$44,""))</f>
        <v/>
      </c>
      <c r="L20" s="6" t="n"/>
      <c r="M20" s="6" t="n"/>
      <c r="N20" s="9" t="n"/>
      <c r="O20" s="19" t="str">
        <f>IF(OR($H20="",$H20=0),"",IF(COUNTIFS($A$5:$A$64,$A20,$B$5:$B$64,"&gt;"&amp;$B20)&gt;0,"Yes","No"))</f>
        <v/>
      </c>
      <c r="P20" s="20" t="str">
        <f>IF(AND($H20&lt;&gt;"",$H20&lt;&gt;0,NOT(OR($L20="Reforecast",$L20="Accepted"))),"YES","")</f>
        <v/>
      </c>
      <c r="Q20" s="21" t="str">
        <f>IF(OR($H20="",$H20=0),"",IF(OR($L20="Reforecast",$L20="Accepted"),"Signed off: "&amp;$L20,IF($O20="Yes","Reforecast entered — confirm sign-off","Awaiting reforecast")))</f>
        <v/>
      </c>
    </row>
    <row r="21">
      <c r="A21" s="6" t="n"/>
      <c r="B21" s="11" t="n"/>
      <c r="C21" s="12" t="str">
        <f>IF($A21="","",_xlfn._xlws.XLOOKUP($A21,'Matters Register'!$A$5:$A$44,'Matters Register'!$E$5:$E$44,"?"))</f>
        <v/>
      </c>
      <c r="D21" s="13" t="n"/>
      <c r="E21" s="14" t="str">
        <f>IF($A21="","",SUMIFS($D$5:$D$64,$A$5:$A$64,$A21,$B$5:$B$64,"&lt;="&amp;$B21))</f>
        <v/>
      </c>
      <c r="F21" s="15" t="str">
        <f>IF(OR($A21="",$C21=0,$C21="?"),"",$E21/$C21)</f>
        <v/>
      </c>
      <c r="G21" s="16" t="str">
        <f>IF($A21="","",IF(COUNTIFS('Month-End Provisions'!$A$5:$A$1004,$A21,'Month-End Provisions'!$B$5:$B$1004,$B21)=0,"",SUMIFS('Month-End Provisions'!$C$5:$C$1004,'Month-End Provisions'!$A$5:$A$1004,$A21,'Month-End Provisions'!$B$5:$B$1004,$B21)))</f>
        <v/>
      </c>
      <c r="H21" s="17" t="str">
        <f>IF(OR($G21="",$D21=""),"",$G21-$D21)</f>
        <v/>
      </c>
      <c r="I21" s="16" t="str">
        <f>IF($A21="","",SUMIFS('Month-End Provisions'!$C$5:$C$1004,'Month-End Provisions'!$A$5:$A$1004,$A21,'Month-End Provisions'!$B$5:$B$1004,"&lt;="&amp;$B21))</f>
        <v/>
      </c>
      <c r="J21" s="14" t="str">
        <f>IF(OR($A21="",$C21="?"),"",$C21-$I21)</f>
        <v/>
      </c>
      <c r="K21" s="18" t="str">
        <f>IF($A21="","",_xlfn._xlws.XLOOKUP($A21,'Matters Register'!$A$5:$A$44,'Matters Register'!$D$5:$D$44,""))</f>
        <v/>
      </c>
      <c r="L21" s="6" t="n"/>
      <c r="M21" s="6" t="n"/>
      <c r="N21" s="9" t="n"/>
      <c r="O21" s="19" t="str">
        <f>IF(OR($H21="",$H21=0),"",IF(COUNTIFS($A$5:$A$64,$A21,$B$5:$B$64,"&gt;"&amp;$B21)&gt;0,"Yes","No"))</f>
        <v/>
      </c>
      <c r="P21" s="20" t="str">
        <f>IF(AND($H21&lt;&gt;"",$H21&lt;&gt;0,NOT(OR($L21="Reforecast",$L21="Accepted"))),"YES","")</f>
        <v/>
      </c>
      <c r="Q21" s="21" t="str">
        <f>IF(OR($H21="",$H21=0),"",IF(OR($L21="Reforecast",$L21="Accepted"),"Signed off: "&amp;$L21,IF($O21="Yes","Reforecast entered — confirm sign-off","Awaiting reforecast")))</f>
        <v/>
      </c>
    </row>
    <row r="22">
      <c r="A22" s="6" t="n"/>
      <c r="B22" s="11" t="n"/>
      <c r="C22" s="12" t="str">
        <f>IF($A22="","",_xlfn._xlws.XLOOKUP($A22,'Matters Register'!$A$5:$A$44,'Matters Register'!$E$5:$E$44,"?"))</f>
        <v/>
      </c>
      <c r="D22" s="13" t="n"/>
      <c r="E22" s="14" t="str">
        <f>IF($A22="","",SUMIFS($D$5:$D$64,$A$5:$A$64,$A22,$B$5:$B$64,"&lt;="&amp;$B22))</f>
        <v/>
      </c>
      <c r="F22" s="15" t="str">
        <f>IF(OR($A22="",$C22=0,$C22="?"),"",$E22/$C22)</f>
        <v/>
      </c>
      <c r="G22" s="16" t="str">
        <f>IF($A22="","",IF(COUNTIFS('Month-End Provisions'!$A$5:$A$1004,$A22,'Month-End Provisions'!$B$5:$B$1004,$B22)=0,"",SUMIFS('Month-End Provisions'!$C$5:$C$1004,'Month-End Provisions'!$A$5:$A$1004,$A22,'Month-End Provisions'!$B$5:$B$1004,$B22)))</f>
        <v/>
      </c>
      <c r="H22" s="17" t="str">
        <f>IF(OR($G22="",$D22=""),"",$G22-$D22)</f>
        <v/>
      </c>
      <c r="I22" s="16" t="str">
        <f>IF($A22="","",SUMIFS('Month-End Provisions'!$C$5:$C$1004,'Month-End Provisions'!$A$5:$A$1004,$A22,'Month-End Provisions'!$B$5:$B$1004,"&lt;="&amp;$B22))</f>
        <v/>
      </c>
      <c r="J22" s="14" t="str">
        <f>IF(OR($A22="",$C22="?"),"",$C22-$I22)</f>
        <v/>
      </c>
      <c r="K22" s="18" t="str">
        <f>IF($A22="","",_xlfn._xlws.XLOOKUP($A22,'Matters Register'!$A$5:$A$44,'Matters Register'!$D$5:$D$44,""))</f>
        <v/>
      </c>
      <c r="L22" s="6" t="n"/>
      <c r="M22" s="6" t="n"/>
      <c r="N22" s="9" t="n"/>
      <c r="O22" s="19" t="str">
        <f>IF(OR($H22="",$H22=0),"",IF(COUNTIFS($A$5:$A$64,$A22,$B$5:$B$64,"&gt;"&amp;$B22)&gt;0,"Yes","No"))</f>
        <v/>
      </c>
      <c r="P22" s="20" t="str">
        <f>IF(AND($H22&lt;&gt;"",$H22&lt;&gt;0,NOT(OR($L22="Reforecast",$L22="Accepted"))),"YES","")</f>
        <v/>
      </c>
      <c r="Q22" s="21" t="str">
        <f>IF(OR($H22="",$H22=0),"",IF(OR($L22="Reforecast",$L22="Accepted"),"Signed off: "&amp;$L22,IF($O22="Yes","Reforecast entered — confirm sign-off","Awaiting reforecast")))</f>
        <v/>
      </c>
    </row>
    <row r="23">
      <c r="A23" s="6" t="n"/>
      <c r="B23" s="11" t="n"/>
      <c r="C23" s="12" t="str">
        <f>IF($A23="","",_xlfn._xlws.XLOOKUP($A23,'Matters Register'!$A$5:$A$44,'Matters Register'!$E$5:$E$44,"?"))</f>
        <v/>
      </c>
      <c r="D23" s="13" t="n"/>
      <c r="E23" s="14" t="str">
        <f>IF($A23="","",SUMIFS($D$5:$D$64,$A$5:$A$64,$A23,$B$5:$B$64,"&lt;="&amp;$B23))</f>
        <v/>
      </c>
      <c r="F23" s="15" t="str">
        <f>IF(OR($A23="",$C23=0,$C23="?"),"",$E23/$C23)</f>
        <v/>
      </c>
      <c r="G23" s="16" t="str">
        <f>IF($A23="","",IF(COUNTIFS('Month-End Provisions'!$A$5:$A$1004,$A23,'Month-End Provisions'!$B$5:$B$1004,$B23)=0,"",SUMIFS('Month-End Provisions'!$C$5:$C$1004,'Month-End Provisions'!$A$5:$A$1004,$A23,'Month-End Provisions'!$B$5:$B$1004,$B23)))</f>
        <v/>
      </c>
      <c r="H23" s="17" t="str">
        <f>IF(OR($G23="",$D23=""),"",$G23-$D23)</f>
        <v/>
      </c>
      <c r="I23" s="16" t="str">
        <f>IF($A23="","",SUMIFS('Month-End Provisions'!$C$5:$C$1004,'Month-End Provisions'!$A$5:$A$1004,$A23,'Month-End Provisions'!$B$5:$B$1004,"&lt;="&amp;$B23))</f>
        <v/>
      </c>
      <c r="J23" s="14" t="str">
        <f>IF(OR($A23="",$C23="?"),"",$C23-$I23)</f>
        <v/>
      </c>
      <c r="K23" s="18" t="str">
        <f>IF($A23="","",_xlfn._xlws.XLOOKUP($A23,'Matters Register'!$A$5:$A$44,'Matters Register'!$D$5:$D$44,""))</f>
        <v/>
      </c>
      <c r="L23" s="6" t="n"/>
      <c r="M23" s="6" t="n"/>
      <c r="N23" s="9" t="n"/>
      <c r="O23" s="19" t="str">
        <f>IF(OR($H23="",$H23=0),"",IF(COUNTIFS($A$5:$A$64,$A23,$B$5:$B$64,"&gt;"&amp;$B23)&gt;0,"Yes","No"))</f>
        <v/>
      </c>
      <c r="P23" s="20" t="str">
        <f>IF(AND($H23&lt;&gt;"",$H23&lt;&gt;0,NOT(OR($L23="Reforecast",$L23="Accepted"))),"YES","")</f>
        <v/>
      </c>
      <c r="Q23" s="21" t="str">
        <f>IF(OR($H23="",$H23=0),"",IF(OR($L23="Reforecast",$L23="Accepted"),"Signed off: "&amp;$L23,IF($O23="Yes","Reforecast entered — confirm sign-off","Awaiting reforecast")))</f>
        <v/>
      </c>
    </row>
    <row r="24">
      <c r="A24" s="6" t="n"/>
      <c r="B24" s="11" t="n"/>
      <c r="C24" s="12" t="str">
        <f>IF($A24="","",_xlfn._xlws.XLOOKUP($A24,'Matters Register'!$A$5:$A$44,'Matters Register'!$E$5:$E$44,"?"))</f>
        <v/>
      </c>
      <c r="D24" s="13" t="n"/>
      <c r="E24" s="14" t="str">
        <f>IF($A24="","",SUMIFS($D$5:$D$64,$A$5:$A$64,$A24,$B$5:$B$64,"&lt;="&amp;$B24))</f>
        <v/>
      </c>
      <c r="F24" s="15" t="str">
        <f>IF(OR($A24="",$C24=0,$C24="?"),"",$E24/$C24)</f>
        <v/>
      </c>
      <c r="G24" s="16" t="str">
        <f>IF($A24="","",IF(COUNTIFS('Month-End Provisions'!$A$5:$A$1004,$A24,'Month-End Provisions'!$B$5:$B$1004,$B24)=0,"",SUMIFS('Month-End Provisions'!$C$5:$C$1004,'Month-End Provisions'!$A$5:$A$1004,$A24,'Month-End Provisions'!$B$5:$B$1004,$B24)))</f>
        <v/>
      </c>
      <c r="H24" s="17" t="str">
        <f>IF(OR($G24="",$D24=""),"",$G24-$D24)</f>
        <v/>
      </c>
      <c r="I24" s="16" t="str">
        <f>IF($A24="","",SUMIFS('Month-End Provisions'!$C$5:$C$1004,'Month-End Provisions'!$A$5:$A$1004,$A24,'Month-End Provisions'!$B$5:$B$1004,"&lt;="&amp;$B24))</f>
        <v/>
      </c>
      <c r="J24" s="14" t="str">
        <f>IF(OR($A24="",$C24="?"),"",$C24-$I24)</f>
        <v/>
      </c>
      <c r="K24" s="18" t="str">
        <f>IF($A24="","",_xlfn._xlws.XLOOKUP($A24,'Matters Register'!$A$5:$A$44,'Matters Register'!$D$5:$D$44,""))</f>
        <v/>
      </c>
      <c r="L24" s="6" t="n"/>
      <c r="M24" s="6" t="n"/>
      <c r="N24" s="9" t="n"/>
      <c r="O24" s="19" t="str">
        <f>IF(OR($H24="",$H24=0),"",IF(COUNTIFS($A$5:$A$64,$A24,$B$5:$B$64,"&gt;"&amp;$B24)&gt;0,"Yes","No"))</f>
        <v/>
      </c>
      <c r="P24" s="20" t="str">
        <f>IF(AND($H24&lt;&gt;"",$H24&lt;&gt;0,NOT(OR($L24="Reforecast",$L24="Accepted"))),"YES","")</f>
        <v/>
      </c>
      <c r="Q24" s="21" t="str">
        <f>IF(OR($H24="",$H24=0),"",IF(OR($L24="Reforecast",$L24="Accepted"),"Signed off: "&amp;$L24,IF($O24="Yes","Reforecast entered — confirm sign-off","Awaiting reforecast")))</f>
        <v/>
      </c>
    </row>
    <row r="25">
      <c r="A25" s="6" t="n"/>
      <c r="B25" s="11" t="n"/>
      <c r="C25" s="12" t="str">
        <f>IF($A25="","",_xlfn._xlws.XLOOKUP($A25,'Matters Register'!$A$5:$A$44,'Matters Register'!$E$5:$E$44,"?"))</f>
        <v/>
      </c>
      <c r="D25" s="13" t="n"/>
      <c r="E25" s="14" t="str">
        <f>IF($A25="","",SUMIFS($D$5:$D$64,$A$5:$A$64,$A25,$B$5:$B$64,"&lt;="&amp;$B25))</f>
        <v/>
      </c>
      <c r="F25" s="15" t="str">
        <f>IF(OR($A25="",$C25=0,$C25="?"),"",$E25/$C25)</f>
        <v/>
      </c>
      <c r="G25" s="16" t="str">
        <f>IF($A25="","",IF(COUNTIFS('Month-End Provisions'!$A$5:$A$1004,$A25,'Month-End Provisions'!$B$5:$B$1004,$B25)=0,"",SUMIFS('Month-End Provisions'!$C$5:$C$1004,'Month-End Provisions'!$A$5:$A$1004,$A25,'Month-End Provisions'!$B$5:$B$1004,$B25)))</f>
        <v/>
      </c>
      <c r="H25" s="17" t="str">
        <f>IF(OR($G25="",$D25=""),"",$G25-$D25)</f>
        <v/>
      </c>
      <c r="I25" s="16" t="str">
        <f>IF($A25="","",SUMIFS('Month-End Provisions'!$C$5:$C$1004,'Month-End Provisions'!$A$5:$A$1004,$A25,'Month-End Provisions'!$B$5:$B$1004,"&lt;="&amp;$B25))</f>
        <v/>
      </c>
      <c r="J25" s="14" t="str">
        <f>IF(OR($A25="",$C25="?"),"",$C25-$I25)</f>
        <v/>
      </c>
      <c r="K25" s="18" t="str">
        <f>IF($A25="","",_xlfn._xlws.XLOOKUP($A25,'Matters Register'!$A$5:$A$44,'Matters Register'!$D$5:$D$44,""))</f>
        <v/>
      </c>
      <c r="L25" s="6" t="n"/>
      <c r="M25" s="6" t="n"/>
      <c r="N25" s="9" t="n"/>
      <c r="O25" s="19" t="str">
        <f>IF(OR($H25="",$H25=0),"",IF(COUNTIFS($A$5:$A$64,$A25,$B$5:$B$64,"&gt;"&amp;$B25)&gt;0,"Yes","No"))</f>
        <v/>
      </c>
      <c r="P25" s="20" t="str">
        <f>IF(AND($H25&lt;&gt;"",$H25&lt;&gt;0,NOT(OR($L25="Reforecast",$L25="Accepted"))),"YES","")</f>
        <v/>
      </c>
      <c r="Q25" s="21" t="str">
        <f>IF(OR($H25="",$H25=0),"",IF(OR($L25="Reforecast",$L25="Accepted"),"Signed off: "&amp;$L25,IF($O25="Yes","Reforecast entered — confirm sign-off","Awaiting reforecast")))</f>
        <v/>
      </c>
    </row>
    <row r="26">
      <c r="A26" s="6" t="n"/>
      <c r="B26" s="11" t="n"/>
      <c r="C26" s="12" t="str">
        <f>IF($A26="","",_xlfn._xlws.XLOOKUP($A26,'Matters Register'!$A$5:$A$44,'Matters Register'!$E$5:$E$44,"?"))</f>
        <v/>
      </c>
      <c r="D26" s="13" t="n"/>
      <c r="E26" s="14" t="str">
        <f>IF($A26="","",SUMIFS($D$5:$D$64,$A$5:$A$64,$A26,$B$5:$B$64,"&lt;="&amp;$B26))</f>
        <v/>
      </c>
      <c r="F26" s="15" t="str">
        <f>IF(OR($A26="",$C26=0,$C26="?"),"",$E26/$C26)</f>
        <v/>
      </c>
      <c r="G26" s="16" t="str">
        <f>IF($A26="","",IF(COUNTIFS('Month-End Provisions'!$A$5:$A$1004,$A26,'Month-End Provisions'!$B$5:$B$1004,$B26)=0,"",SUMIFS('Month-End Provisions'!$C$5:$C$1004,'Month-End Provisions'!$A$5:$A$1004,$A26,'Month-End Provisions'!$B$5:$B$1004,$B26)))</f>
        <v/>
      </c>
      <c r="H26" s="17" t="str">
        <f>IF(OR($G26="",$D26=""),"",$G26-$D26)</f>
        <v/>
      </c>
      <c r="I26" s="16" t="str">
        <f>IF($A26="","",SUMIFS('Month-End Provisions'!$C$5:$C$1004,'Month-End Provisions'!$A$5:$A$1004,$A26,'Month-End Provisions'!$B$5:$B$1004,"&lt;="&amp;$B26))</f>
        <v/>
      </c>
      <c r="J26" s="14" t="str">
        <f>IF(OR($A26="",$C26="?"),"",$C26-$I26)</f>
        <v/>
      </c>
      <c r="K26" s="18" t="str">
        <f>IF($A26="","",_xlfn._xlws.XLOOKUP($A26,'Matters Register'!$A$5:$A$44,'Matters Register'!$D$5:$D$44,""))</f>
        <v/>
      </c>
      <c r="L26" s="6" t="n"/>
      <c r="M26" s="6" t="n"/>
      <c r="N26" s="9" t="n"/>
      <c r="O26" s="19" t="str">
        <f>IF(OR($H26="",$H26=0),"",IF(COUNTIFS($A$5:$A$64,$A26,$B$5:$B$64,"&gt;"&amp;$B26)&gt;0,"Yes","No"))</f>
        <v/>
      </c>
      <c r="P26" s="20" t="str">
        <f>IF(AND($H26&lt;&gt;"",$H26&lt;&gt;0,NOT(OR($L26="Reforecast",$L26="Accepted"))),"YES","")</f>
        <v/>
      </c>
      <c r="Q26" s="21" t="str">
        <f>IF(OR($H26="",$H26=0),"",IF(OR($L26="Reforecast",$L26="Accepted"),"Signed off: "&amp;$L26,IF($O26="Yes","Reforecast entered — confirm sign-off","Awaiting reforecast")))</f>
        <v/>
      </c>
    </row>
    <row r="27">
      <c r="A27" s="6" t="n"/>
      <c r="B27" s="11" t="n"/>
      <c r="C27" s="12" t="str">
        <f>IF($A27="","",_xlfn._xlws.XLOOKUP($A27,'Matters Register'!$A$5:$A$44,'Matters Register'!$E$5:$E$44,"?"))</f>
        <v/>
      </c>
      <c r="D27" s="13" t="n"/>
      <c r="E27" s="14" t="str">
        <f>IF($A27="","",SUMIFS($D$5:$D$64,$A$5:$A$64,$A27,$B$5:$B$64,"&lt;="&amp;$B27))</f>
        <v/>
      </c>
      <c r="F27" s="15" t="str">
        <f>IF(OR($A27="",$C27=0,$C27="?"),"",$E27/$C27)</f>
        <v/>
      </c>
      <c r="G27" s="16" t="str">
        <f>IF($A27="","",IF(COUNTIFS('Month-End Provisions'!$A$5:$A$1004,$A27,'Month-End Provisions'!$B$5:$B$1004,$B27)=0,"",SUMIFS('Month-End Provisions'!$C$5:$C$1004,'Month-End Provisions'!$A$5:$A$1004,$A27,'Month-End Provisions'!$B$5:$B$1004,$B27)))</f>
        <v/>
      </c>
      <c r="H27" s="17" t="str">
        <f>IF(OR($G27="",$D27=""),"",$G27-$D27)</f>
        <v/>
      </c>
      <c r="I27" s="16" t="str">
        <f>IF($A27="","",SUMIFS('Month-End Provisions'!$C$5:$C$1004,'Month-End Provisions'!$A$5:$A$1004,$A27,'Month-End Provisions'!$B$5:$B$1004,"&lt;="&amp;$B27))</f>
        <v/>
      </c>
      <c r="J27" s="14" t="str">
        <f>IF(OR($A27="",$C27="?"),"",$C27-$I27)</f>
        <v/>
      </c>
      <c r="K27" s="18" t="str">
        <f>IF($A27="","",_xlfn._xlws.XLOOKUP($A27,'Matters Register'!$A$5:$A$44,'Matters Register'!$D$5:$D$44,""))</f>
        <v/>
      </c>
      <c r="L27" s="6" t="n"/>
      <c r="M27" s="6" t="n"/>
      <c r="N27" s="9" t="n"/>
      <c r="O27" s="19" t="str">
        <f>IF(OR($H27="",$H27=0),"",IF(COUNTIFS($A$5:$A$64,$A27,$B$5:$B$64,"&gt;"&amp;$B27)&gt;0,"Yes","No"))</f>
        <v/>
      </c>
      <c r="P27" s="20" t="str">
        <f>IF(AND($H27&lt;&gt;"",$H27&lt;&gt;0,NOT(OR($L27="Reforecast",$L27="Accepted"))),"YES","")</f>
        <v/>
      </c>
      <c r="Q27" s="21" t="str">
        <f>IF(OR($H27="",$H27=0),"",IF(OR($L27="Reforecast",$L27="Accepted"),"Signed off: "&amp;$L27,IF($O27="Yes","Reforecast entered — confirm sign-off","Awaiting reforecast")))</f>
        <v/>
      </c>
    </row>
    <row r="28">
      <c r="A28" s="6" t="n"/>
      <c r="B28" s="11" t="n"/>
      <c r="C28" s="12" t="str">
        <f>IF($A28="","",_xlfn._xlws.XLOOKUP($A28,'Matters Register'!$A$5:$A$44,'Matters Register'!$E$5:$E$44,"?"))</f>
        <v/>
      </c>
      <c r="D28" s="13" t="n"/>
      <c r="E28" s="14" t="str">
        <f>IF($A28="","",SUMIFS($D$5:$D$64,$A$5:$A$64,$A28,$B$5:$B$64,"&lt;="&amp;$B28))</f>
        <v/>
      </c>
      <c r="F28" s="15" t="str">
        <f>IF(OR($A28="",$C28=0,$C28="?"),"",$E28/$C28)</f>
        <v/>
      </c>
      <c r="G28" s="16" t="str">
        <f>IF($A28="","",IF(COUNTIFS('Month-End Provisions'!$A$5:$A$1004,$A28,'Month-End Provisions'!$B$5:$B$1004,$B28)=0,"",SUMIFS('Month-End Provisions'!$C$5:$C$1004,'Month-End Provisions'!$A$5:$A$1004,$A28,'Month-End Provisions'!$B$5:$B$1004,$B28)))</f>
        <v/>
      </c>
      <c r="H28" s="17" t="str">
        <f>IF(OR($G28="",$D28=""),"",$G28-$D28)</f>
        <v/>
      </c>
      <c r="I28" s="16" t="str">
        <f>IF($A28="","",SUMIFS('Month-End Provisions'!$C$5:$C$1004,'Month-End Provisions'!$A$5:$A$1004,$A28,'Month-End Provisions'!$B$5:$B$1004,"&lt;="&amp;$B28))</f>
        <v/>
      </c>
      <c r="J28" s="14" t="str">
        <f>IF(OR($A28="",$C28="?"),"",$C28-$I28)</f>
        <v/>
      </c>
      <c r="K28" s="18" t="str">
        <f>IF($A28="","",_xlfn._xlws.XLOOKUP($A28,'Matters Register'!$A$5:$A$44,'Matters Register'!$D$5:$D$44,""))</f>
        <v/>
      </c>
      <c r="L28" s="6" t="n"/>
      <c r="M28" s="6" t="n"/>
      <c r="N28" s="9" t="n"/>
      <c r="O28" s="19" t="str">
        <f>IF(OR($H28="",$H28=0),"",IF(COUNTIFS($A$5:$A$64,$A28,$B$5:$B$64,"&gt;"&amp;$B28)&gt;0,"Yes","No"))</f>
        <v/>
      </c>
      <c r="P28" s="20" t="str">
        <f>IF(AND($H28&lt;&gt;"",$H28&lt;&gt;0,NOT(OR($L28="Reforecast",$L28="Accepted"))),"YES","")</f>
        <v/>
      </c>
      <c r="Q28" s="21" t="str">
        <f>IF(OR($H28="",$H28=0),"",IF(OR($L28="Reforecast",$L28="Accepted"),"Signed off: "&amp;$L28,IF($O28="Yes","Reforecast entered — confirm sign-off","Awaiting reforecast")))</f>
        <v/>
      </c>
    </row>
    <row r="29">
      <c r="A29" s="6" t="n"/>
      <c r="B29" s="11" t="n"/>
      <c r="C29" s="12" t="str">
        <f>IF($A29="","",_xlfn._xlws.XLOOKUP($A29,'Matters Register'!$A$5:$A$44,'Matters Register'!$E$5:$E$44,"?"))</f>
        <v/>
      </c>
      <c r="D29" s="13" t="n"/>
      <c r="E29" s="14" t="str">
        <f>IF($A29="","",SUMIFS($D$5:$D$64,$A$5:$A$64,$A29,$B$5:$B$64,"&lt;="&amp;$B29))</f>
        <v/>
      </c>
      <c r="F29" s="15" t="str">
        <f>IF(OR($A29="",$C29=0,$C29="?"),"",$E29/$C29)</f>
        <v/>
      </c>
      <c r="G29" s="16" t="str">
        <f>IF($A29="","",IF(COUNTIFS('Month-End Provisions'!$A$5:$A$1004,$A29,'Month-End Provisions'!$B$5:$B$1004,$B29)=0,"",SUMIFS('Month-End Provisions'!$C$5:$C$1004,'Month-End Provisions'!$A$5:$A$1004,$A29,'Month-End Provisions'!$B$5:$B$1004,$B29)))</f>
        <v/>
      </c>
      <c r="H29" s="17" t="str">
        <f>IF(OR($G29="",$D29=""),"",$G29-$D29)</f>
        <v/>
      </c>
      <c r="I29" s="16" t="str">
        <f>IF($A29="","",SUMIFS('Month-End Provisions'!$C$5:$C$1004,'Month-End Provisions'!$A$5:$A$1004,$A29,'Month-End Provisions'!$B$5:$B$1004,"&lt;="&amp;$B29))</f>
        <v/>
      </c>
      <c r="J29" s="14" t="str">
        <f>IF(OR($A29="",$C29="?"),"",$C29-$I29)</f>
        <v/>
      </c>
      <c r="K29" s="18" t="str">
        <f>IF($A29="","",_xlfn._xlws.XLOOKUP($A29,'Matters Register'!$A$5:$A$44,'Matters Register'!$D$5:$D$44,""))</f>
        <v/>
      </c>
      <c r="L29" s="6" t="n"/>
      <c r="M29" s="6" t="n"/>
      <c r="N29" s="9" t="n"/>
      <c r="O29" s="19" t="str">
        <f>IF(OR($H29="",$H29=0),"",IF(COUNTIFS($A$5:$A$64,$A29,$B$5:$B$64,"&gt;"&amp;$B29)&gt;0,"Yes","No"))</f>
        <v/>
      </c>
      <c r="P29" s="20" t="str">
        <f>IF(AND($H29&lt;&gt;"",$H29&lt;&gt;0,NOT(OR($L29="Reforecast",$L29="Accepted"))),"YES","")</f>
        <v/>
      </c>
      <c r="Q29" s="21" t="str">
        <f>IF(OR($H29="",$H29=0),"",IF(OR($L29="Reforecast",$L29="Accepted"),"Signed off: "&amp;$L29,IF($O29="Yes","Reforecast entered — confirm sign-off","Awaiting reforecast")))</f>
        <v/>
      </c>
    </row>
    <row r="30">
      <c r="A30" s="6" t="n"/>
      <c r="B30" s="11" t="n"/>
      <c r="C30" s="12" t="str">
        <f>IF($A30="","",_xlfn._xlws.XLOOKUP($A30,'Matters Register'!$A$5:$A$44,'Matters Register'!$E$5:$E$44,"?"))</f>
        <v/>
      </c>
      <c r="D30" s="13" t="n"/>
      <c r="E30" s="14" t="str">
        <f>IF($A30="","",SUMIFS($D$5:$D$64,$A$5:$A$64,$A30,$B$5:$B$64,"&lt;="&amp;$B30))</f>
        <v/>
      </c>
      <c r="F30" s="15" t="str">
        <f>IF(OR($A30="",$C30=0,$C30="?"),"",$E30/$C30)</f>
        <v/>
      </c>
      <c r="G30" s="16" t="str">
        <f>IF($A30="","",IF(COUNTIFS('Month-End Provisions'!$A$5:$A$1004,$A30,'Month-End Provisions'!$B$5:$B$1004,$B30)=0,"",SUMIFS('Month-End Provisions'!$C$5:$C$1004,'Month-End Provisions'!$A$5:$A$1004,$A30,'Month-End Provisions'!$B$5:$B$1004,$B30)))</f>
        <v/>
      </c>
      <c r="H30" s="17" t="str">
        <f>IF(OR($G30="",$D30=""),"",$G30-$D30)</f>
        <v/>
      </c>
      <c r="I30" s="16" t="str">
        <f>IF($A30="","",SUMIFS('Month-End Provisions'!$C$5:$C$1004,'Month-End Provisions'!$A$5:$A$1004,$A30,'Month-End Provisions'!$B$5:$B$1004,"&lt;="&amp;$B30))</f>
        <v/>
      </c>
      <c r="J30" s="14" t="str">
        <f>IF(OR($A30="",$C30="?"),"",$C30-$I30)</f>
        <v/>
      </c>
      <c r="K30" s="18" t="str">
        <f>IF($A30="","",_xlfn._xlws.XLOOKUP($A30,'Matters Register'!$A$5:$A$44,'Matters Register'!$D$5:$D$44,""))</f>
        <v/>
      </c>
      <c r="L30" s="6" t="n"/>
      <c r="M30" s="6" t="n"/>
      <c r="N30" s="9" t="n"/>
      <c r="O30" s="19" t="str">
        <f>IF(OR($H30="",$H30=0),"",IF(COUNTIFS($A$5:$A$64,$A30,$B$5:$B$64,"&gt;"&amp;$B30)&gt;0,"Yes","No"))</f>
        <v/>
      </c>
      <c r="P30" s="20" t="str">
        <f>IF(AND($H30&lt;&gt;"",$H30&lt;&gt;0,NOT(OR($L30="Reforecast",$L30="Accepted"))),"YES","")</f>
        <v/>
      </c>
      <c r="Q30" s="21" t="str">
        <f>IF(OR($H30="",$H30=0),"",IF(OR($L30="Reforecast",$L30="Accepted"),"Signed off: "&amp;$L30,IF($O30="Yes","Reforecast entered — confirm sign-off","Awaiting reforecast")))</f>
        <v/>
      </c>
    </row>
    <row r="31">
      <c r="A31" s="6" t="n"/>
      <c r="B31" s="11" t="n"/>
      <c r="C31" s="12" t="str">
        <f>IF($A31="","",_xlfn._xlws.XLOOKUP($A31,'Matters Register'!$A$5:$A$44,'Matters Register'!$E$5:$E$44,"?"))</f>
        <v/>
      </c>
      <c r="D31" s="13" t="n"/>
      <c r="E31" s="14" t="str">
        <f>IF($A31="","",SUMIFS($D$5:$D$64,$A$5:$A$64,$A31,$B$5:$B$64,"&lt;="&amp;$B31))</f>
        <v/>
      </c>
      <c r="F31" s="15" t="str">
        <f>IF(OR($A31="",$C31=0,$C31="?"),"",$E31/$C31)</f>
        <v/>
      </c>
      <c r="G31" s="16" t="str">
        <f>IF($A31="","",IF(COUNTIFS('Month-End Provisions'!$A$5:$A$1004,$A31,'Month-End Provisions'!$B$5:$B$1004,$B31)=0,"",SUMIFS('Month-End Provisions'!$C$5:$C$1004,'Month-End Provisions'!$A$5:$A$1004,$A31,'Month-End Provisions'!$B$5:$B$1004,$B31)))</f>
        <v/>
      </c>
      <c r="H31" s="17" t="str">
        <f>IF(OR($G31="",$D31=""),"",$G31-$D31)</f>
        <v/>
      </c>
      <c r="I31" s="16" t="str">
        <f>IF($A31="","",SUMIFS('Month-End Provisions'!$C$5:$C$1004,'Month-End Provisions'!$A$5:$A$1004,$A31,'Month-End Provisions'!$B$5:$B$1004,"&lt;="&amp;$B31))</f>
        <v/>
      </c>
      <c r="J31" s="14" t="str">
        <f>IF(OR($A31="",$C31="?"),"",$C31-$I31)</f>
        <v/>
      </c>
      <c r="K31" s="18" t="str">
        <f>IF($A31="","",_xlfn._xlws.XLOOKUP($A31,'Matters Register'!$A$5:$A$44,'Matters Register'!$D$5:$D$44,""))</f>
        <v/>
      </c>
      <c r="L31" s="6" t="n"/>
      <c r="M31" s="6" t="n"/>
      <c r="N31" s="9" t="n"/>
      <c r="O31" s="19" t="str">
        <f>IF(OR($H31="",$H31=0),"",IF(COUNTIFS($A$5:$A$64,$A31,$B$5:$B$64,"&gt;"&amp;$B31)&gt;0,"Yes","No"))</f>
        <v/>
      </c>
      <c r="P31" s="20" t="str">
        <f>IF(AND($H31&lt;&gt;"",$H31&lt;&gt;0,NOT(OR($L31="Reforecast",$L31="Accepted"))),"YES","")</f>
        <v/>
      </c>
      <c r="Q31" s="21" t="str">
        <f>IF(OR($H31="",$H31=0),"",IF(OR($L31="Reforecast",$L31="Accepted"),"Signed off: "&amp;$L31,IF($O31="Yes","Reforecast entered — confirm sign-off","Awaiting reforecast")))</f>
        <v/>
      </c>
    </row>
    <row r="32">
      <c r="A32" s="6" t="n"/>
      <c r="B32" s="11" t="n"/>
      <c r="C32" s="12" t="str">
        <f>IF($A32="","",_xlfn._xlws.XLOOKUP($A32,'Matters Register'!$A$5:$A$44,'Matters Register'!$E$5:$E$44,"?"))</f>
        <v/>
      </c>
      <c r="D32" s="13" t="n"/>
      <c r="E32" s="14" t="str">
        <f>IF($A32="","",SUMIFS($D$5:$D$64,$A$5:$A$64,$A32,$B$5:$B$64,"&lt;="&amp;$B32))</f>
        <v/>
      </c>
      <c r="F32" s="15" t="str">
        <f>IF(OR($A32="",$C32=0,$C32="?"),"",$E32/$C32)</f>
        <v/>
      </c>
      <c r="G32" s="16" t="str">
        <f>IF($A32="","",IF(COUNTIFS('Month-End Provisions'!$A$5:$A$1004,$A32,'Month-End Provisions'!$B$5:$B$1004,$B32)=0,"",SUMIFS('Month-End Provisions'!$C$5:$C$1004,'Month-End Provisions'!$A$5:$A$1004,$A32,'Month-End Provisions'!$B$5:$B$1004,$B32)))</f>
        <v/>
      </c>
      <c r="H32" s="17" t="str">
        <f>IF(OR($G32="",$D32=""),"",$G32-$D32)</f>
        <v/>
      </c>
      <c r="I32" s="16" t="str">
        <f>IF($A32="","",SUMIFS('Month-End Provisions'!$C$5:$C$1004,'Month-End Provisions'!$A$5:$A$1004,$A32,'Month-End Provisions'!$B$5:$B$1004,"&lt;="&amp;$B32))</f>
        <v/>
      </c>
      <c r="J32" s="14" t="str">
        <f>IF(OR($A32="",$C32="?"),"",$C32-$I32)</f>
        <v/>
      </c>
      <c r="K32" s="18" t="str">
        <f>IF($A32="","",_xlfn._xlws.XLOOKUP($A32,'Matters Register'!$A$5:$A$44,'Matters Register'!$D$5:$D$44,""))</f>
        <v/>
      </c>
      <c r="L32" s="6" t="n"/>
      <c r="M32" s="6" t="n"/>
      <c r="N32" s="9" t="n"/>
      <c r="O32" s="19" t="str">
        <f>IF(OR($H32="",$H32=0),"",IF(COUNTIFS($A$5:$A$64,$A32,$B$5:$B$64,"&gt;"&amp;$B32)&gt;0,"Yes","No"))</f>
        <v/>
      </c>
      <c r="P32" s="20" t="str">
        <f>IF(AND($H32&lt;&gt;"",$H32&lt;&gt;0,NOT(OR($L32="Reforecast",$L32="Accepted"))),"YES","")</f>
        <v/>
      </c>
      <c r="Q32" s="21" t="str">
        <f>IF(OR($H32="",$H32=0),"",IF(OR($L32="Reforecast",$L32="Accepted"),"Signed off: "&amp;$L32,IF($O32="Yes","Reforecast entered — confirm sign-off","Awaiting reforecast")))</f>
        <v/>
      </c>
    </row>
    <row r="33">
      <c r="A33" s="6" t="n"/>
      <c r="B33" s="11" t="n"/>
      <c r="C33" s="12" t="str">
        <f>IF($A33="","",_xlfn._xlws.XLOOKUP($A33,'Matters Register'!$A$5:$A$44,'Matters Register'!$E$5:$E$44,"?"))</f>
        <v/>
      </c>
      <c r="D33" s="13" t="n"/>
      <c r="E33" s="14" t="str">
        <f>IF($A33="","",SUMIFS($D$5:$D$64,$A$5:$A$64,$A33,$B$5:$B$64,"&lt;="&amp;$B33))</f>
        <v/>
      </c>
      <c r="F33" s="15" t="str">
        <f>IF(OR($A33="",$C33=0,$C33="?"),"",$E33/$C33)</f>
        <v/>
      </c>
      <c r="G33" s="16" t="str">
        <f>IF($A33="","",IF(COUNTIFS('Month-End Provisions'!$A$5:$A$1004,$A33,'Month-End Provisions'!$B$5:$B$1004,$B33)=0,"",SUMIFS('Month-End Provisions'!$C$5:$C$1004,'Month-End Provisions'!$A$5:$A$1004,$A33,'Month-End Provisions'!$B$5:$B$1004,$B33)))</f>
        <v/>
      </c>
      <c r="H33" s="17" t="str">
        <f>IF(OR($G33="",$D33=""),"",$G33-$D33)</f>
        <v/>
      </c>
      <c r="I33" s="16" t="str">
        <f>IF($A33="","",SUMIFS('Month-End Provisions'!$C$5:$C$1004,'Month-End Provisions'!$A$5:$A$1004,$A33,'Month-End Provisions'!$B$5:$B$1004,"&lt;="&amp;$B33))</f>
        <v/>
      </c>
      <c r="J33" s="14" t="str">
        <f>IF(OR($A33="",$C33="?"),"",$C33-$I33)</f>
        <v/>
      </c>
      <c r="K33" s="18" t="str">
        <f>IF($A33="","",_xlfn._xlws.XLOOKUP($A33,'Matters Register'!$A$5:$A$44,'Matters Register'!$D$5:$D$44,""))</f>
        <v/>
      </c>
      <c r="L33" s="6" t="n"/>
      <c r="M33" s="6" t="n"/>
      <c r="N33" s="9" t="n"/>
      <c r="O33" s="19" t="str">
        <f>IF(OR($H33="",$H33=0),"",IF(COUNTIFS($A$5:$A$64,$A33,$B$5:$B$64,"&gt;"&amp;$B33)&gt;0,"Yes","No"))</f>
        <v/>
      </c>
      <c r="P33" s="20" t="str">
        <f>IF(AND($H33&lt;&gt;"",$H33&lt;&gt;0,NOT(OR($L33="Reforecast",$L33="Accepted"))),"YES","")</f>
        <v/>
      </c>
      <c r="Q33" s="21" t="str">
        <f>IF(OR($H33="",$H33=0),"",IF(OR($L33="Reforecast",$L33="Accepted"),"Signed off: "&amp;$L33,IF($O33="Yes","Reforecast entered — confirm sign-off","Awaiting reforecast")))</f>
        <v/>
      </c>
    </row>
    <row r="34">
      <c r="A34" s="6" t="n"/>
      <c r="B34" s="11" t="n"/>
      <c r="C34" s="12" t="str">
        <f>IF($A34="","",_xlfn._xlws.XLOOKUP($A34,'Matters Register'!$A$5:$A$44,'Matters Register'!$E$5:$E$44,"?"))</f>
        <v/>
      </c>
      <c r="D34" s="13" t="n"/>
      <c r="E34" s="14" t="str">
        <f>IF($A34="","",SUMIFS($D$5:$D$64,$A$5:$A$64,$A34,$B$5:$B$64,"&lt;="&amp;$B34))</f>
        <v/>
      </c>
      <c r="F34" s="15" t="str">
        <f>IF(OR($A34="",$C34=0,$C34="?"),"",$E34/$C34)</f>
        <v/>
      </c>
      <c r="G34" s="16" t="str">
        <f>IF($A34="","",IF(COUNTIFS('Month-End Provisions'!$A$5:$A$1004,$A34,'Month-End Provisions'!$B$5:$B$1004,$B34)=0,"",SUMIFS('Month-End Provisions'!$C$5:$C$1004,'Month-End Provisions'!$A$5:$A$1004,$A34,'Month-End Provisions'!$B$5:$B$1004,$B34)))</f>
        <v/>
      </c>
      <c r="H34" s="17" t="str">
        <f>IF(OR($G34="",$D34=""),"",$G34-$D34)</f>
        <v/>
      </c>
      <c r="I34" s="16" t="str">
        <f>IF($A34="","",SUMIFS('Month-End Provisions'!$C$5:$C$1004,'Month-End Provisions'!$A$5:$A$1004,$A34,'Month-End Provisions'!$B$5:$B$1004,"&lt;="&amp;$B34))</f>
        <v/>
      </c>
      <c r="J34" s="14" t="str">
        <f>IF(OR($A34="",$C34="?"),"",$C34-$I34)</f>
        <v/>
      </c>
      <c r="K34" s="18" t="str">
        <f>IF($A34="","",_xlfn._xlws.XLOOKUP($A34,'Matters Register'!$A$5:$A$44,'Matters Register'!$D$5:$D$44,""))</f>
        <v/>
      </c>
      <c r="L34" s="6" t="n"/>
      <c r="M34" s="6" t="n"/>
      <c r="N34" s="9" t="n"/>
      <c r="O34" s="19" t="str">
        <f>IF(OR($H34="",$H34=0),"",IF(COUNTIFS($A$5:$A$64,$A34,$B$5:$B$64,"&gt;"&amp;$B34)&gt;0,"Yes","No"))</f>
        <v/>
      </c>
      <c r="P34" s="20" t="str">
        <f>IF(AND($H34&lt;&gt;"",$H34&lt;&gt;0,NOT(OR($L34="Reforecast",$L34="Accepted"))),"YES","")</f>
        <v/>
      </c>
      <c r="Q34" s="21" t="str">
        <f>IF(OR($H34="",$H34=0),"",IF(OR($L34="Reforecast",$L34="Accepted"),"Signed off: "&amp;$L34,IF($O34="Yes","Reforecast entered — confirm sign-off","Awaiting reforecast")))</f>
        <v/>
      </c>
    </row>
    <row r="35">
      <c r="A35" s="6" t="n"/>
      <c r="B35" s="11" t="n"/>
      <c r="C35" s="12" t="str">
        <f>IF($A35="","",_xlfn._xlws.XLOOKUP($A35,'Matters Register'!$A$5:$A$44,'Matters Register'!$E$5:$E$44,"?"))</f>
        <v/>
      </c>
      <c r="D35" s="13" t="n"/>
      <c r="E35" s="14" t="str">
        <f>IF($A35="","",SUMIFS($D$5:$D$64,$A$5:$A$64,$A35,$B$5:$B$64,"&lt;="&amp;$B35))</f>
        <v/>
      </c>
      <c r="F35" s="15" t="str">
        <f>IF(OR($A35="",$C35=0,$C35="?"),"",$E35/$C35)</f>
        <v/>
      </c>
      <c r="G35" s="16" t="str">
        <f>IF($A35="","",IF(COUNTIFS('Month-End Provisions'!$A$5:$A$1004,$A35,'Month-End Provisions'!$B$5:$B$1004,$B35)=0,"",SUMIFS('Month-End Provisions'!$C$5:$C$1004,'Month-End Provisions'!$A$5:$A$1004,$A35,'Month-End Provisions'!$B$5:$B$1004,$B35)))</f>
        <v/>
      </c>
      <c r="H35" s="17" t="str">
        <f>IF(OR($G35="",$D35=""),"",$G35-$D35)</f>
        <v/>
      </c>
      <c r="I35" s="16" t="str">
        <f>IF($A35="","",SUMIFS('Month-End Provisions'!$C$5:$C$1004,'Month-End Provisions'!$A$5:$A$1004,$A35,'Month-End Provisions'!$B$5:$B$1004,"&lt;="&amp;$B35))</f>
        <v/>
      </c>
      <c r="J35" s="14" t="str">
        <f>IF(OR($A35="",$C35="?"),"",$C35-$I35)</f>
        <v/>
      </c>
      <c r="K35" s="18" t="str">
        <f>IF($A35="","",_xlfn._xlws.XLOOKUP($A35,'Matters Register'!$A$5:$A$44,'Matters Register'!$D$5:$D$44,""))</f>
        <v/>
      </c>
      <c r="L35" s="6" t="n"/>
      <c r="M35" s="6" t="n"/>
      <c r="N35" s="9" t="n"/>
      <c r="O35" s="19" t="str">
        <f>IF(OR($H35="",$H35=0),"",IF(COUNTIFS($A$5:$A$64,$A35,$B$5:$B$64,"&gt;"&amp;$B35)&gt;0,"Yes","No"))</f>
        <v/>
      </c>
      <c r="P35" s="20" t="str">
        <f>IF(AND($H35&lt;&gt;"",$H35&lt;&gt;0,NOT(OR($L35="Reforecast",$L35="Accepted"))),"YES","")</f>
        <v/>
      </c>
      <c r="Q35" s="21" t="str">
        <f>IF(OR($H35="",$H35=0),"",IF(OR($L35="Reforecast",$L35="Accepted"),"Signed off: "&amp;$L35,IF($O35="Yes","Reforecast entered — confirm sign-off","Awaiting reforecast")))</f>
        <v/>
      </c>
    </row>
    <row r="36">
      <c r="A36" s="6" t="n"/>
      <c r="B36" s="11" t="n"/>
      <c r="C36" s="12" t="str">
        <f>IF($A36="","",_xlfn._xlws.XLOOKUP($A36,'Matters Register'!$A$5:$A$44,'Matters Register'!$E$5:$E$44,"?"))</f>
        <v/>
      </c>
      <c r="D36" s="13" t="n"/>
      <c r="E36" s="14" t="str">
        <f>IF($A36="","",SUMIFS($D$5:$D$64,$A$5:$A$64,$A36,$B$5:$B$64,"&lt;="&amp;$B36))</f>
        <v/>
      </c>
      <c r="F36" s="15" t="str">
        <f>IF(OR($A36="",$C36=0,$C36="?"),"",$E36/$C36)</f>
        <v/>
      </c>
      <c r="G36" s="16" t="str">
        <f>IF($A36="","",IF(COUNTIFS('Month-End Provisions'!$A$5:$A$1004,$A36,'Month-End Provisions'!$B$5:$B$1004,$B36)=0,"",SUMIFS('Month-End Provisions'!$C$5:$C$1004,'Month-End Provisions'!$A$5:$A$1004,$A36,'Month-End Provisions'!$B$5:$B$1004,$B36)))</f>
        <v/>
      </c>
      <c r="H36" s="17" t="str">
        <f>IF(OR($G36="",$D36=""),"",$G36-$D36)</f>
        <v/>
      </c>
      <c r="I36" s="16" t="str">
        <f>IF($A36="","",SUMIFS('Month-End Provisions'!$C$5:$C$1004,'Month-End Provisions'!$A$5:$A$1004,$A36,'Month-End Provisions'!$B$5:$B$1004,"&lt;="&amp;$B36))</f>
        <v/>
      </c>
      <c r="J36" s="14" t="str">
        <f>IF(OR($A36="",$C36="?"),"",$C36-$I36)</f>
        <v/>
      </c>
      <c r="K36" s="18" t="str">
        <f>IF($A36="","",_xlfn._xlws.XLOOKUP($A36,'Matters Register'!$A$5:$A$44,'Matters Register'!$D$5:$D$44,""))</f>
        <v/>
      </c>
      <c r="L36" s="6" t="n"/>
      <c r="M36" s="6" t="n"/>
      <c r="N36" s="9" t="n"/>
      <c r="O36" s="19" t="str">
        <f>IF(OR($H36="",$H36=0),"",IF(COUNTIFS($A$5:$A$64,$A36,$B$5:$B$64,"&gt;"&amp;$B36)&gt;0,"Yes","No"))</f>
        <v/>
      </c>
      <c r="P36" s="20" t="str">
        <f>IF(AND($H36&lt;&gt;"",$H36&lt;&gt;0,NOT(OR($L36="Reforecast",$L36="Accepted"))),"YES","")</f>
        <v/>
      </c>
      <c r="Q36" s="21" t="str">
        <f>IF(OR($H36="",$H36=0),"",IF(OR($L36="Reforecast",$L36="Accepted"),"Signed off: "&amp;$L36,IF($O36="Yes","Reforecast entered — confirm sign-off","Awaiting reforecast")))</f>
        <v/>
      </c>
    </row>
    <row r="37">
      <c r="A37" s="6" t="n"/>
      <c r="B37" s="11" t="n"/>
      <c r="C37" s="12" t="str">
        <f>IF($A37="","",_xlfn._xlws.XLOOKUP($A37,'Matters Register'!$A$5:$A$44,'Matters Register'!$E$5:$E$44,"?"))</f>
        <v/>
      </c>
      <c r="D37" s="13" t="n"/>
      <c r="E37" s="14" t="str">
        <f>IF($A37="","",SUMIFS($D$5:$D$64,$A$5:$A$64,$A37,$B$5:$B$64,"&lt;="&amp;$B37))</f>
        <v/>
      </c>
      <c r="F37" s="15" t="str">
        <f>IF(OR($A37="",$C37=0,$C37="?"),"",$E37/$C37)</f>
        <v/>
      </c>
      <c r="G37" s="16" t="str">
        <f>IF($A37="","",IF(COUNTIFS('Month-End Provisions'!$A$5:$A$1004,$A37,'Month-End Provisions'!$B$5:$B$1004,$B37)=0,"",SUMIFS('Month-End Provisions'!$C$5:$C$1004,'Month-End Provisions'!$A$5:$A$1004,$A37,'Month-End Provisions'!$B$5:$B$1004,$B37)))</f>
        <v/>
      </c>
      <c r="H37" s="17" t="str">
        <f>IF(OR($G37="",$D37=""),"",$G37-$D37)</f>
        <v/>
      </c>
      <c r="I37" s="16" t="str">
        <f>IF($A37="","",SUMIFS('Month-End Provisions'!$C$5:$C$1004,'Month-End Provisions'!$A$5:$A$1004,$A37,'Month-End Provisions'!$B$5:$B$1004,"&lt;="&amp;$B37))</f>
        <v/>
      </c>
      <c r="J37" s="14" t="str">
        <f>IF(OR($A37="",$C37="?"),"",$C37-$I37)</f>
        <v/>
      </c>
      <c r="K37" s="18" t="str">
        <f>IF($A37="","",_xlfn._xlws.XLOOKUP($A37,'Matters Register'!$A$5:$A$44,'Matters Register'!$D$5:$D$44,""))</f>
        <v/>
      </c>
      <c r="L37" s="6" t="n"/>
      <c r="M37" s="6" t="n"/>
      <c r="N37" s="9" t="n"/>
      <c r="O37" s="19" t="str">
        <f>IF(OR($H37="",$H37=0),"",IF(COUNTIFS($A$5:$A$64,$A37,$B$5:$B$64,"&gt;"&amp;$B37)&gt;0,"Yes","No"))</f>
        <v/>
      </c>
      <c r="P37" s="20" t="str">
        <f>IF(AND($H37&lt;&gt;"",$H37&lt;&gt;0,NOT(OR($L37="Reforecast",$L37="Accepted"))),"YES","")</f>
        <v/>
      </c>
      <c r="Q37" s="21" t="str">
        <f>IF(OR($H37="",$H37=0),"",IF(OR($L37="Reforecast",$L37="Accepted"),"Signed off: "&amp;$L37,IF($O37="Yes","Reforecast entered — confirm sign-off","Awaiting reforecast")))</f>
        <v/>
      </c>
    </row>
    <row r="38">
      <c r="A38" s="6" t="n"/>
      <c r="B38" s="11" t="n"/>
      <c r="C38" s="12" t="str">
        <f>IF($A38="","",_xlfn._xlws.XLOOKUP($A38,'Matters Register'!$A$5:$A$44,'Matters Register'!$E$5:$E$44,"?"))</f>
        <v/>
      </c>
      <c r="D38" s="13" t="n"/>
      <c r="E38" s="14" t="str">
        <f>IF($A38="","",SUMIFS($D$5:$D$64,$A$5:$A$64,$A38,$B$5:$B$64,"&lt;="&amp;$B38))</f>
        <v/>
      </c>
      <c r="F38" s="15" t="str">
        <f>IF(OR($A38="",$C38=0,$C38="?"),"",$E38/$C38)</f>
        <v/>
      </c>
      <c r="G38" s="16" t="str">
        <f>IF($A38="","",IF(COUNTIFS('Month-End Provisions'!$A$5:$A$1004,$A38,'Month-End Provisions'!$B$5:$B$1004,$B38)=0,"",SUMIFS('Month-End Provisions'!$C$5:$C$1004,'Month-End Provisions'!$A$5:$A$1004,$A38,'Month-End Provisions'!$B$5:$B$1004,$B38)))</f>
        <v/>
      </c>
      <c r="H38" s="17" t="str">
        <f>IF(OR($G38="",$D38=""),"",$G38-$D38)</f>
        <v/>
      </c>
      <c r="I38" s="16" t="str">
        <f>IF($A38="","",SUMIFS('Month-End Provisions'!$C$5:$C$1004,'Month-End Provisions'!$A$5:$A$1004,$A38,'Month-End Provisions'!$B$5:$B$1004,"&lt;="&amp;$B38))</f>
        <v/>
      </c>
      <c r="J38" s="14" t="str">
        <f>IF(OR($A38="",$C38="?"),"",$C38-$I38)</f>
        <v/>
      </c>
      <c r="K38" s="18" t="str">
        <f>IF($A38="","",_xlfn._xlws.XLOOKUP($A38,'Matters Register'!$A$5:$A$44,'Matters Register'!$D$5:$D$44,""))</f>
        <v/>
      </c>
      <c r="L38" s="6" t="n"/>
      <c r="M38" s="6" t="n"/>
      <c r="N38" s="9" t="n"/>
      <c r="O38" s="19" t="str">
        <f>IF(OR($H38="",$H38=0),"",IF(COUNTIFS($A$5:$A$64,$A38,$B$5:$B$64,"&gt;"&amp;$B38)&gt;0,"Yes","No"))</f>
        <v/>
      </c>
      <c r="P38" s="20" t="str">
        <f>IF(AND($H38&lt;&gt;"",$H38&lt;&gt;0,NOT(OR($L38="Reforecast",$L38="Accepted"))),"YES","")</f>
        <v/>
      </c>
      <c r="Q38" s="21" t="str">
        <f>IF(OR($H38="",$H38=0),"",IF(OR($L38="Reforecast",$L38="Accepted"),"Signed off: "&amp;$L38,IF($O38="Yes","Reforecast entered — confirm sign-off","Awaiting reforecast")))</f>
        <v/>
      </c>
    </row>
    <row r="39">
      <c r="A39" s="6" t="n"/>
      <c r="B39" s="11" t="n"/>
      <c r="C39" s="12" t="str">
        <f>IF($A39="","",_xlfn._xlws.XLOOKUP($A39,'Matters Register'!$A$5:$A$44,'Matters Register'!$E$5:$E$44,"?"))</f>
        <v/>
      </c>
      <c r="D39" s="13" t="n"/>
      <c r="E39" s="14" t="str">
        <f>IF($A39="","",SUMIFS($D$5:$D$64,$A$5:$A$64,$A39,$B$5:$B$64,"&lt;="&amp;$B39))</f>
        <v/>
      </c>
      <c r="F39" s="15" t="str">
        <f>IF(OR($A39="",$C39=0,$C39="?"),"",$E39/$C39)</f>
        <v/>
      </c>
      <c r="G39" s="16" t="str">
        <f>IF($A39="","",IF(COUNTIFS('Month-End Provisions'!$A$5:$A$1004,$A39,'Month-End Provisions'!$B$5:$B$1004,$B39)=0,"",SUMIFS('Month-End Provisions'!$C$5:$C$1004,'Month-End Provisions'!$A$5:$A$1004,$A39,'Month-End Provisions'!$B$5:$B$1004,$B39)))</f>
        <v/>
      </c>
      <c r="H39" s="17" t="str">
        <f>IF(OR($G39="",$D39=""),"",$G39-$D39)</f>
        <v/>
      </c>
      <c r="I39" s="16" t="str">
        <f>IF($A39="","",SUMIFS('Month-End Provisions'!$C$5:$C$1004,'Month-End Provisions'!$A$5:$A$1004,$A39,'Month-End Provisions'!$B$5:$B$1004,"&lt;="&amp;$B39))</f>
        <v/>
      </c>
      <c r="J39" s="14" t="str">
        <f>IF(OR($A39="",$C39="?"),"",$C39-$I39)</f>
        <v/>
      </c>
      <c r="K39" s="18" t="str">
        <f>IF($A39="","",_xlfn._xlws.XLOOKUP($A39,'Matters Register'!$A$5:$A$44,'Matters Register'!$D$5:$D$44,""))</f>
        <v/>
      </c>
      <c r="L39" s="6" t="n"/>
      <c r="M39" s="6" t="n"/>
      <c r="N39" s="9" t="n"/>
      <c r="O39" s="19" t="str">
        <f>IF(OR($H39="",$H39=0),"",IF(COUNTIFS($A$5:$A$64,$A39,$B$5:$B$64,"&gt;"&amp;$B39)&gt;0,"Yes","No"))</f>
        <v/>
      </c>
      <c r="P39" s="20" t="str">
        <f>IF(AND($H39&lt;&gt;"",$H39&lt;&gt;0,NOT(OR($L39="Reforecast",$L39="Accepted"))),"YES","")</f>
        <v/>
      </c>
      <c r="Q39" s="21" t="str">
        <f>IF(OR($H39="",$H39=0),"",IF(OR($L39="Reforecast",$L39="Accepted"),"Signed off: "&amp;$L39,IF($O39="Yes","Reforecast entered — confirm sign-off","Awaiting reforecast")))</f>
        <v/>
      </c>
    </row>
    <row r="40">
      <c r="A40" s="6" t="n"/>
      <c r="B40" s="11" t="n"/>
      <c r="C40" s="12" t="str">
        <f>IF($A40="","",_xlfn._xlws.XLOOKUP($A40,'Matters Register'!$A$5:$A$44,'Matters Register'!$E$5:$E$44,"?"))</f>
        <v/>
      </c>
      <c r="D40" s="13" t="n"/>
      <c r="E40" s="14" t="str">
        <f>IF($A40="","",SUMIFS($D$5:$D$64,$A$5:$A$64,$A40,$B$5:$B$64,"&lt;="&amp;$B40))</f>
        <v/>
      </c>
      <c r="F40" s="15" t="str">
        <f>IF(OR($A40="",$C40=0,$C40="?"),"",$E40/$C40)</f>
        <v/>
      </c>
      <c r="G40" s="16" t="str">
        <f>IF($A40="","",IF(COUNTIFS('Month-End Provisions'!$A$5:$A$1004,$A40,'Month-End Provisions'!$B$5:$B$1004,$B40)=0,"",SUMIFS('Month-End Provisions'!$C$5:$C$1004,'Month-End Provisions'!$A$5:$A$1004,$A40,'Month-End Provisions'!$B$5:$B$1004,$B40)))</f>
        <v/>
      </c>
      <c r="H40" s="17" t="str">
        <f>IF(OR($G40="",$D40=""),"",$G40-$D40)</f>
        <v/>
      </c>
      <c r="I40" s="16" t="str">
        <f>IF($A40="","",SUMIFS('Month-End Provisions'!$C$5:$C$1004,'Month-End Provisions'!$A$5:$A$1004,$A40,'Month-End Provisions'!$B$5:$B$1004,"&lt;="&amp;$B40))</f>
        <v/>
      </c>
      <c r="J40" s="14" t="str">
        <f>IF(OR($A40="",$C40="?"),"",$C40-$I40)</f>
        <v/>
      </c>
      <c r="K40" s="18" t="str">
        <f>IF($A40="","",_xlfn._xlws.XLOOKUP($A40,'Matters Register'!$A$5:$A$44,'Matters Register'!$D$5:$D$44,""))</f>
        <v/>
      </c>
      <c r="L40" s="6" t="n"/>
      <c r="M40" s="6" t="n"/>
      <c r="N40" s="9" t="n"/>
      <c r="O40" s="19" t="str">
        <f>IF(OR($H40="",$H40=0),"",IF(COUNTIFS($A$5:$A$64,$A40,$B$5:$B$64,"&gt;"&amp;$B40)&gt;0,"Yes","No"))</f>
        <v/>
      </c>
      <c r="P40" s="20" t="str">
        <f>IF(AND($H40&lt;&gt;"",$H40&lt;&gt;0,NOT(OR($L40="Reforecast",$L40="Accepted"))),"YES","")</f>
        <v/>
      </c>
      <c r="Q40" s="21" t="str">
        <f>IF(OR($H40="",$H40=0),"",IF(OR($L40="Reforecast",$L40="Accepted"),"Signed off: "&amp;$L40,IF($O40="Yes","Reforecast entered — confirm sign-off","Awaiting reforecast")))</f>
        <v/>
      </c>
    </row>
    <row r="41">
      <c r="A41" s="6" t="n"/>
      <c r="B41" s="11" t="n"/>
      <c r="C41" s="12" t="str">
        <f>IF($A41="","",_xlfn._xlws.XLOOKUP($A41,'Matters Register'!$A$5:$A$44,'Matters Register'!$E$5:$E$44,"?"))</f>
        <v/>
      </c>
      <c r="D41" s="13" t="n"/>
      <c r="E41" s="14" t="str">
        <f>IF($A41="","",SUMIFS($D$5:$D$64,$A$5:$A$64,$A41,$B$5:$B$64,"&lt;="&amp;$B41))</f>
        <v/>
      </c>
      <c r="F41" s="15" t="str">
        <f>IF(OR($A41="",$C41=0,$C41="?"),"",$E41/$C41)</f>
        <v/>
      </c>
      <c r="G41" s="16" t="str">
        <f>IF($A41="","",IF(COUNTIFS('Month-End Provisions'!$A$5:$A$1004,$A41,'Month-End Provisions'!$B$5:$B$1004,$B41)=0,"",SUMIFS('Month-End Provisions'!$C$5:$C$1004,'Month-End Provisions'!$A$5:$A$1004,$A41,'Month-End Provisions'!$B$5:$B$1004,$B41)))</f>
        <v/>
      </c>
      <c r="H41" s="17" t="str">
        <f>IF(OR($G41="",$D41=""),"",$G41-$D41)</f>
        <v/>
      </c>
      <c r="I41" s="16" t="str">
        <f>IF($A41="","",SUMIFS('Month-End Provisions'!$C$5:$C$1004,'Month-End Provisions'!$A$5:$A$1004,$A41,'Month-End Provisions'!$B$5:$B$1004,"&lt;="&amp;$B41))</f>
        <v/>
      </c>
      <c r="J41" s="14" t="str">
        <f>IF(OR($A41="",$C41="?"),"",$C41-$I41)</f>
        <v/>
      </c>
      <c r="K41" s="18" t="str">
        <f>IF($A41="","",_xlfn._xlws.XLOOKUP($A41,'Matters Register'!$A$5:$A$44,'Matters Register'!$D$5:$D$44,""))</f>
        <v/>
      </c>
      <c r="L41" s="6" t="n"/>
      <c r="M41" s="6" t="n"/>
      <c r="N41" s="9" t="n"/>
      <c r="O41" s="19" t="str">
        <f>IF(OR($H41="",$H41=0),"",IF(COUNTIFS($A$5:$A$64,$A41,$B$5:$B$64,"&gt;"&amp;$B41)&gt;0,"Yes","No"))</f>
        <v/>
      </c>
      <c r="P41" s="20" t="str">
        <f>IF(AND($H41&lt;&gt;"",$H41&lt;&gt;0,NOT(OR($L41="Reforecast",$L41="Accepted"))),"YES","")</f>
        <v/>
      </c>
      <c r="Q41" s="21" t="str">
        <f>IF(OR($H41="",$H41=0),"",IF(OR($L41="Reforecast",$L41="Accepted"),"Signed off: "&amp;$L41,IF($O41="Yes","Reforecast entered — confirm sign-off","Awaiting reforecast")))</f>
        <v/>
      </c>
    </row>
    <row r="42">
      <c r="A42" s="6" t="n"/>
      <c r="B42" s="11" t="n"/>
      <c r="C42" s="12" t="str">
        <f>IF($A42="","",_xlfn._xlws.XLOOKUP($A42,'Matters Register'!$A$5:$A$44,'Matters Register'!$E$5:$E$44,"?"))</f>
        <v/>
      </c>
      <c r="D42" s="13" t="n"/>
      <c r="E42" s="14" t="str">
        <f>IF($A42="","",SUMIFS($D$5:$D$64,$A$5:$A$64,$A42,$B$5:$B$64,"&lt;="&amp;$B42))</f>
        <v/>
      </c>
      <c r="F42" s="15" t="str">
        <f>IF(OR($A42="",$C42=0,$C42="?"),"",$E42/$C42)</f>
        <v/>
      </c>
      <c r="G42" s="16" t="str">
        <f>IF($A42="","",IF(COUNTIFS('Month-End Provisions'!$A$5:$A$1004,$A42,'Month-End Provisions'!$B$5:$B$1004,$B42)=0,"",SUMIFS('Month-End Provisions'!$C$5:$C$1004,'Month-End Provisions'!$A$5:$A$1004,$A42,'Month-End Provisions'!$B$5:$B$1004,$B42)))</f>
        <v/>
      </c>
      <c r="H42" s="17" t="str">
        <f>IF(OR($G42="",$D42=""),"",$G42-$D42)</f>
        <v/>
      </c>
      <c r="I42" s="16" t="str">
        <f>IF($A42="","",SUMIFS('Month-End Provisions'!$C$5:$C$1004,'Month-End Provisions'!$A$5:$A$1004,$A42,'Month-End Provisions'!$B$5:$B$1004,"&lt;="&amp;$B42))</f>
        <v/>
      </c>
      <c r="J42" s="14" t="str">
        <f>IF(OR($A42="",$C42="?"),"",$C42-$I42)</f>
        <v/>
      </c>
      <c r="K42" s="18" t="str">
        <f>IF($A42="","",_xlfn._xlws.XLOOKUP($A42,'Matters Register'!$A$5:$A$44,'Matters Register'!$D$5:$D$44,""))</f>
        <v/>
      </c>
      <c r="L42" s="6" t="n"/>
      <c r="M42" s="6" t="n"/>
      <c r="N42" s="9" t="n"/>
      <c r="O42" s="19" t="str">
        <f>IF(OR($H42="",$H42=0),"",IF(COUNTIFS($A$5:$A$64,$A42,$B$5:$B$64,"&gt;"&amp;$B42)&gt;0,"Yes","No"))</f>
        <v/>
      </c>
      <c r="P42" s="20" t="str">
        <f>IF(AND($H42&lt;&gt;"",$H42&lt;&gt;0,NOT(OR($L42="Reforecast",$L42="Accepted"))),"YES","")</f>
        <v/>
      </c>
      <c r="Q42" s="21" t="str">
        <f>IF(OR($H42="",$H42=0),"",IF(OR($L42="Reforecast",$L42="Accepted"),"Signed off: "&amp;$L42,IF($O42="Yes","Reforecast entered — confirm sign-off","Awaiting reforecast")))</f>
        <v/>
      </c>
    </row>
    <row r="43">
      <c r="A43" s="6" t="n"/>
      <c r="B43" s="11" t="n"/>
      <c r="C43" s="12" t="str">
        <f>IF($A43="","",_xlfn._xlws.XLOOKUP($A43,'Matters Register'!$A$5:$A$44,'Matters Register'!$E$5:$E$44,"?"))</f>
        <v/>
      </c>
      <c r="D43" s="13" t="n"/>
      <c r="E43" s="14" t="str">
        <f>IF($A43="","",SUMIFS($D$5:$D$64,$A$5:$A$64,$A43,$B$5:$B$64,"&lt;="&amp;$B43))</f>
        <v/>
      </c>
      <c r="F43" s="15" t="str">
        <f>IF(OR($A43="",$C43=0,$C43="?"),"",$E43/$C43)</f>
        <v/>
      </c>
      <c r="G43" s="16" t="str">
        <f>IF($A43="","",IF(COUNTIFS('Month-End Provisions'!$A$5:$A$1004,$A43,'Month-End Provisions'!$B$5:$B$1004,$B43)=0,"",SUMIFS('Month-End Provisions'!$C$5:$C$1004,'Month-End Provisions'!$A$5:$A$1004,$A43,'Month-End Provisions'!$B$5:$B$1004,$B43)))</f>
        <v/>
      </c>
      <c r="H43" s="17" t="str">
        <f>IF(OR($G43="",$D43=""),"",$G43-$D43)</f>
        <v/>
      </c>
      <c r="I43" s="16" t="str">
        <f>IF($A43="","",SUMIFS('Month-End Provisions'!$C$5:$C$1004,'Month-End Provisions'!$A$5:$A$1004,$A43,'Month-End Provisions'!$B$5:$B$1004,"&lt;="&amp;$B43))</f>
        <v/>
      </c>
      <c r="J43" s="14" t="str">
        <f>IF(OR($A43="",$C43="?"),"",$C43-$I43)</f>
        <v/>
      </c>
      <c r="K43" s="18" t="str">
        <f>IF($A43="","",_xlfn._xlws.XLOOKUP($A43,'Matters Register'!$A$5:$A$44,'Matters Register'!$D$5:$D$44,""))</f>
        <v/>
      </c>
      <c r="L43" s="6" t="n"/>
      <c r="M43" s="6" t="n"/>
      <c r="N43" s="9" t="n"/>
      <c r="O43" s="19" t="str">
        <f>IF(OR($H43="",$H43=0),"",IF(COUNTIFS($A$5:$A$64,$A43,$B$5:$B$64,"&gt;"&amp;$B43)&gt;0,"Yes","No"))</f>
        <v/>
      </c>
      <c r="P43" s="20" t="str">
        <f>IF(AND($H43&lt;&gt;"",$H43&lt;&gt;0,NOT(OR($L43="Reforecast",$L43="Accepted"))),"YES","")</f>
        <v/>
      </c>
      <c r="Q43" s="21" t="str">
        <f>IF(OR($H43="",$H43=0),"",IF(OR($L43="Reforecast",$L43="Accepted"),"Signed off: "&amp;$L43,IF($O43="Yes","Reforecast entered — confirm sign-off","Awaiting reforecast")))</f>
        <v/>
      </c>
    </row>
    <row r="44">
      <c r="A44" s="6" t="n"/>
      <c r="B44" s="11" t="n"/>
      <c r="C44" s="12" t="str">
        <f>IF($A44="","",_xlfn._xlws.XLOOKUP($A44,'Matters Register'!$A$5:$A$44,'Matters Register'!$E$5:$E$44,"?"))</f>
        <v/>
      </c>
      <c r="D44" s="13" t="n"/>
      <c r="E44" s="14" t="str">
        <f>IF($A44="","",SUMIFS($D$5:$D$64,$A$5:$A$64,$A44,$B$5:$B$64,"&lt;="&amp;$B44))</f>
        <v/>
      </c>
      <c r="F44" s="15" t="str">
        <f>IF(OR($A44="",$C44=0,$C44="?"),"",$E44/$C44)</f>
        <v/>
      </c>
      <c r="G44" s="16" t="str">
        <f>IF($A44="","",IF(COUNTIFS('Month-End Provisions'!$A$5:$A$1004,$A44,'Month-End Provisions'!$B$5:$B$1004,$B44)=0,"",SUMIFS('Month-End Provisions'!$C$5:$C$1004,'Month-End Provisions'!$A$5:$A$1004,$A44,'Month-End Provisions'!$B$5:$B$1004,$B44)))</f>
        <v/>
      </c>
      <c r="H44" s="17" t="str">
        <f>IF(OR($G44="",$D44=""),"",$G44-$D44)</f>
        <v/>
      </c>
      <c r="I44" s="16" t="str">
        <f>IF($A44="","",SUMIFS('Month-End Provisions'!$C$5:$C$1004,'Month-End Provisions'!$A$5:$A$1004,$A44,'Month-End Provisions'!$B$5:$B$1004,"&lt;="&amp;$B44))</f>
        <v/>
      </c>
      <c r="J44" s="14" t="str">
        <f>IF(OR($A44="",$C44="?"),"",$C44-$I44)</f>
        <v/>
      </c>
      <c r="K44" s="18" t="str">
        <f>IF($A44="","",_xlfn._xlws.XLOOKUP($A44,'Matters Register'!$A$5:$A$44,'Matters Register'!$D$5:$D$44,""))</f>
        <v/>
      </c>
      <c r="L44" s="6" t="n"/>
      <c r="M44" s="6" t="n"/>
      <c r="N44" s="9" t="n"/>
      <c r="O44" s="19" t="str">
        <f>IF(OR($H44="",$H44=0),"",IF(COUNTIFS($A$5:$A$64,$A44,$B$5:$B$64,"&gt;"&amp;$B44)&gt;0,"Yes","No"))</f>
        <v/>
      </c>
      <c r="P44" s="20" t="str">
        <f>IF(AND($H44&lt;&gt;"",$H44&lt;&gt;0,NOT(OR($L44="Reforecast",$L44="Accepted"))),"YES","")</f>
        <v/>
      </c>
      <c r="Q44" s="21" t="str">
        <f>IF(OR($H44="",$H44=0),"",IF(OR($L44="Reforecast",$L44="Accepted"),"Signed off: "&amp;$L44,IF($O44="Yes","Reforecast entered — confirm sign-off","Awaiting reforecast")))</f>
        <v/>
      </c>
    </row>
    <row r="45">
      <c r="A45" s="6" t="n"/>
      <c r="B45" s="11" t="n"/>
      <c r="C45" s="12" t="str">
        <f>IF($A45="","",_xlfn._xlws.XLOOKUP($A45,'Matters Register'!$A$5:$A$44,'Matters Register'!$E$5:$E$44,"?"))</f>
        <v/>
      </c>
      <c r="D45" s="13" t="n"/>
      <c r="E45" s="14" t="str">
        <f>IF($A45="","",SUMIFS($D$5:$D$64,$A$5:$A$64,$A45,$B$5:$B$64,"&lt;="&amp;$B45))</f>
        <v/>
      </c>
      <c r="F45" s="15" t="str">
        <f>IF(OR($A45="",$C45=0,$C45="?"),"",$E45/$C45)</f>
        <v/>
      </c>
      <c r="G45" s="16" t="str">
        <f>IF($A45="","",IF(COUNTIFS('Month-End Provisions'!$A$5:$A$1004,$A45,'Month-End Provisions'!$B$5:$B$1004,$B45)=0,"",SUMIFS('Month-End Provisions'!$C$5:$C$1004,'Month-End Provisions'!$A$5:$A$1004,$A45,'Month-End Provisions'!$B$5:$B$1004,$B45)))</f>
        <v/>
      </c>
      <c r="H45" s="17" t="str">
        <f>IF(OR($G45="",$D45=""),"",$G45-$D45)</f>
        <v/>
      </c>
      <c r="I45" s="16" t="str">
        <f>IF($A45="","",SUMIFS('Month-End Provisions'!$C$5:$C$1004,'Month-End Provisions'!$A$5:$A$1004,$A45,'Month-End Provisions'!$B$5:$B$1004,"&lt;="&amp;$B45))</f>
        <v/>
      </c>
      <c r="J45" s="14" t="str">
        <f>IF(OR($A45="",$C45="?"),"",$C45-$I45)</f>
        <v/>
      </c>
      <c r="K45" s="18" t="str">
        <f>IF($A45="","",_xlfn._xlws.XLOOKUP($A45,'Matters Register'!$A$5:$A$44,'Matters Register'!$D$5:$D$44,""))</f>
        <v/>
      </c>
      <c r="L45" s="6" t="n"/>
      <c r="M45" s="6" t="n"/>
      <c r="N45" s="9" t="n"/>
      <c r="O45" s="19" t="str">
        <f>IF(OR($H45="",$H45=0),"",IF(COUNTIFS($A$5:$A$64,$A45,$B$5:$B$64,"&gt;"&amp;$B45)&gt;0,"Yes","No"))</f>
        <v/>
      </c>
      <c r="P45" s="20" t="str">
        <f>IF(AND($H45&lt;&gt;"",$H45&lt;&gt;0,NOT(OR($L45="Reforecast",$L45="Accepted"))),"YES","")</f>
        <v/>
      </c>
      <c r="Q45" s="21" t="str">
        <f>IF(OR($H45="",$H45=0),"",IF(OR($L45="Reforecast",$L45="Accepted"),"Signed off: "&amp;$L45,IF($O45="Yes","Reforecast entered — confirm sign-off","Awaiting reforecast")))</f>
        <v/>
      </c>
    </row>
    <row r="46">
      <c r="A46" s="6" t="n"/>
      <c r="B46" s="11" t="n"/>
      <c r="C46" s="12" t="str">
        <f>IF($A46="","",_xlfn._xlws.XLOOKUP($A46,'Matters Register'!$A$5:$A$44,'Matters Register'!$E$5:$E$44,"?"))</f>
        <v/>
      </c>
      <c r="D46" s="13" t="n"/>
      <c r="E46" s="14" t="str">
        <f>IF($A46="","",SUMIFS($D$5:$D$64,$A$5:$A$64,$A46,$B$5:$B$64,"&lt;="&amp;$B46))</f>
        <v/>
      </c>
      <c r="F46" s="15" t="str">
        <f>IF(OR($A46="",$C46=0,$C46="?"),"",$E46/$C46)</f>
        <v/>
      </c>
      <c r="G46" s="16" t="str">
        <f>IF($A46="","",IF(COUNTIFS('Month-End Provisions'!$A$5:$A$1004,$A46,'Month-End Provisions'!$B$5:$B$1004,$B46)=0,"",SUMIFS('Month-End Provisions'!$C$5:$C$1004,'Month-End Provisions'!$A$5:$A$1004,$A46,'Month-End Provisions'!$B$5:$B$1004,$B46)))</f>
        <v/>
      </c>
      <c r="H46" s="17" t="str">
        <f>IF(OR($G46="",$D46=""),"",$G46-$D46)</f>
        <v/>
      </c>
      <c r="I46" s="16" t="str">
        <f>IF($A46="","",SUMIFS('Month-End Provisions'!$C$5:$C$1004,'Month-End Provisions'!$A$5:$A$1004,$A46,'Month-End Provisions'!$B$5:$B$1004,"&lt;="&amp;$B46))</f>
        <v/>
      </c>
      <c r="J46" s="14" t="str">
        <f>IF(OR($A46="",$C46="?"),"",$C46-$I46)</f>
        <v/>
      </c>
      <c r="K46" s="18" t="str">
        <f>IF($A46="","",_xlfn._xlws.XLOOKUP($A46,'Matters Register'!$A$5:$A$44,'Matters Register'!$D$5:$D$44,""))</f>
        <v/>
      </c>
      <c r="L46" s="6" t="n"/>
      <c r="M46" s="6" t="n"/>
      <c r="N46" s="9" t="n"/>
      <c r="O46" s="19" t="str">
        <f>IF(OR($H46="",$H46=0),"",IF(COUNTIFS($A$5:$A$64,$A46,$B$5:$B$64,"&gt;"&amp;$B46)&gt;0,"Yes","No"))</f>
        <v/>
      </c>
      <c r="P46" s="20" t="str">
        <f>IF(AND($H46&lt;&gt;"",$H46&lt;&gt;0,NOT(OR($L46="Reforecast",$L46="Accepted"))),"YES","")</f>
        <v/>
      </c>
      <c r="Q46" s="21" t="str">
        <f>IF(OR($H46="",$H46=0),"",IF(OR($L46="Reforecast",$L46="Accepted"),"Signed off: "&amp;$L46,IF($O46="Yes","Reforecast entered — confirm sign-off","Awaiting reforecast")))</f>
        <v/>
      </c>
    </row>
    <row r="47">
      <c r="A47" s="6" t="n"/>
      <c r="B47" s="11" t="n"/>
      <c r="C47" s="12" t="str">
        <f>IF($A47="","",_xlfn._xlws.XLOOKUP($A47,'Matters Register'!$A$5:$A$44,'Matters Register'!$E$5:$E$44,"?"))</f>
        <v/>
      </c>
      <c r="D47" s="13" t="n"/>
      <c r="E47" s="14" t="str">
        <f>IF($A47="","",SUMIFS($D$5:$D$64,$A$5:$A$64,$A47,$B$5:$B$64,"&lt;="&amp;$B47))</f>
        <v/>
      </c>
      <c r="F47" s="15" t="str">
        <f>IF(OR($A47="",$C47=0,$C47="?"),"",$E47/$C47)</f>
        <v/>
      </c>
      <c r="G47" s="16" t="str">
        <f>IF($A47="","",IF(COUNTIFS('Month-End Provisions'!$A$5:$A$1004,$A47,'Month-End Provisions'!$B$5:$B$1004,$B47)=0,"",SUMIFS('Month-End Provisions'!$C$5:$C$1004,'Month-End Provisions'!$A$5:$A$1004,$A47,'Month-End Provisions'!$B$5:$B$1004,$B47)))</f>
        <v/>
      </c>
      <c r="H47" s="17" t="str">
        <f>IF(OR($G47="",$D47=""),"",$G47-$D47)</f>
        <v/>
      </c>
      <c r="I47" s="16" t="str">
        <f>IF($A47="","",SUMIFS('Month-End Provisions'!$C$5:$C$1004,'Month-End Provisions'!$A$5:$A$1004,$A47,'Month-End Provisions'!$B$5:$B$1004,"&lt;="&amp;$B47))</f>
        <v/>
      </c>
      <c r="J47" s="14" t="str">
        <f>IF(OR($A47="",$C47="?"),"",$C47-$I47)</f>
        <v/>
      </c>
      <c r="K47" s="18" t="str">
        <f>IF($A47="","",_xlfn._xlws.XLOOKUP($A47,'Matters Register'!$A$5:$A$44,'Matters Register'!$D$5:$D$44,""))</f>
        <v/>
      </c>
      <c r="L47" s="6" t="n"/>
      <c r="M47" s="6" t="n"/>
      <c r="N47" s="9" t="n"/>
      <c r="O47" s="19" t="str">
        <f>IF(OR($H47="",$H47=0),"",IF(COUNTIFS($A$5:$A$64,$A47,$B$5:$B$64,"&gt;"&amp;$B47)&gt;0,"Yes","No"))</f>
        <v/>
      </c>
      <c r="P47" s="20" t="str">
        <f>IF(AND($H47&lt;&gt;"",$H47&lt;&gt;0,NOT(OR($L47="Reforecast",$L47="Accepted"))),"YES","")</f>
        <v/>
      </c>
      <c r="Q47" s="21" t="str">
        <f>IF(OR($H47="",$H47=0),"",IF(OR($L47="Reforecast",$L47="Accepted"),"Signed off: "&amp;$L47,IF($O47="Yes","Reforecast entered — confirm sign-off","Awaiting reforecast")))</f>
        <v/>
      </c>
    </row>
    <row r="48">
      <c r="A48" s="6" t="n"/>
      <c r="B48" s="11" t="n"/>
      <c r="C48" s="12" t="str">
        <f>IF($A48="","",_xlfn._xlws.XLOOKUP($A48,'Matters Register'!$A$5:$A$44,'Matters Register'!$E$5:$E$44,"?"))</f>
        <v/>
      </c>
      <c r="D48" s="13" t="n"/>
      <c r="E48" s="14" t="str">
        <f>IF($A48="","",SUMIFS($D$5:$D$64,$A$5:$A$64,$A48,$B$5:$B$64,"&lt;="&amp;$B48))</f>
        <v/>
      </c>
      <c r="F48" s="15" t="str">
        <f>IF(OR($A48="",$C48=0,$C48="?"),"",$E48/$C48)</f>
        <v/>
      </c>
      <c r="G48" s="16" t="str">
        <f>IF($A48="","",IF(COUNTIFS('Month-End Provisions'!$A$5:$A$1004,$A48,'Month-End Provisions'!$B$5:$B$1004,$B48)=0,"",SUMIFS('Month-End Provisions'!$C$5:$C$1004,'Month-End Provisions'!$A$5:$A$1004,$A48,'Month-End Provisions'!$B$5:$B$1004,$B48)))</f>
        <v/>
      </c>
      <c r="H48" s="17" t="str">
        <f>IF(OR($G48="",$D48=""),"",$G48-$D48)</f>
        <v/>
      </c>
      <c r="I48" s="16" t="str">
        <f>IF($A48="","",SUMIFS('Month-End Provisions'!$C$5:$C$1004,'Month-End Provisions'!$A$5:$A$1004,$A48,'Month-End Provisions'!$B$5:$B$1004,"&lt;="&amp;$B48))</f>
        <v/>
      </c>
      <c r="J48" s="14" t="str">
        <f>IF(OR($A48="",$C48="?"),"",$C48-$I48)</f>
        <v/>
      </c>
      <c r="K48" s="18" t="str">
        <f>IF($A48="","",_xlfn._xlws.XLOOKUP($A48,'Matters Register'!$A$5:$A$44,'Matters Register'!$D$5:$D$44,""))</f>
        <v/>
      </c>
      <c r="L48" s="6" t="n"/>
      <c r="M48" s="6" t="n"/>
      <c r="N48" s="9" t="n"/>
      <c r="O48" s="19" t="str">
        <f>IF(OR($H48="",$H48=0),"",IF(COUNTIFS($A$5:$A$64,$A48,$B$5:$B$64,"&gt;"&amp;$B48)&gt;0,"Yes","No"))</f>
        <v/>
      </c>
      <c r="P48" s="20" t="str">
        <f>IF(AND($H48&lt;&gt;"",$H48&lt;&gt;0,NOT(OR($L48="Reforecast",$L48="Accepted"))),"YES","")</f>
        <v/>
      </c>
      <c r="Q48" s="21" t="str">
        <f>IF(OR($H48="",$H48=0),"",IF(OR($L48="Reforecast",$L48="Accepted"),"Signed off: "&amp;$L48,IF($O48="Yes","Reforecast entered — confirm sign-off","Awaiting reforecast")))</f>
        <v/>
      </c>
    </row>
    <row r="49">
      <c r="A49" s="6" t="n"/>
      <c r="B49" s="11" t="n"/>
      <c r="C49" s="12" t="str">
        <f>IF($A49="","",_xlfn._xlws.XLOOKUP($A49,'Matters Register'!$A$5:$A$44,'Matters Register'!$E$5:$E$44,"?"))</f>
        <v/>
      </c>
      <c r="D49" s="13" t="n"/>
      <c r="E49" s="14" t="str">
        <f>IF($A49="","",SUMIFS($D$5:$D$64,$A$5:$A$64,$A49,$B$5:$B$64,"&lt;="&amp;$B49))</f>
        <v/>
      </c>
      <c r="F49" s="15" t="str">
        <f>IF(OR($A49="",$C49=0,$C49="?"),"",$E49/$C49)</f>
        <v/>
      </c>
      <c r="G49" s="16" t="str">
        <f>IF($A49="","",IF(COUNTIFS('Month-End Provisions'!$A$5:$A$1004,$A49,'Month-End Provisions'!$B$5:$B$1004,$B49)=0,"",SUMIFS('Month-End Provisions'!$C$5:$C$1004,'Month-End Provisions'!$A$5:$A$1004,$A49,'Month-End Provisions'!$B$5:$B$1004,$B49)))</f>
        <v/>
      </c>
      <c r="H49" s="17" t="str">
        <f>IF(OR($G49="",$D49=""),"",$G49-$D49)</f>
        <v/>
      </c>
      <c r="I49" s="16" t="str">
        <f>IF($A49="","",SUMIFS('Month-End Provisions'!$C$5:$C$1004,'Month-End Provisions'!$A$5:$A$1004,$A49,'Month-End Provisions'!$B$5:$B$1004,"&lt;="&amp;$B49))</f>
        <v/>
      </c>
      <c r="J49" s="14" t="str">
        <f>IF(OR($A49="",$C49="?"),"",$C49-$I49)</f>
        <v/>
      </c>
      <c r="K49" s="18" t="str">
        <f>IF($A49="","",_xlfn._xlws.XLOOKUP($A49,'Matters Register'!$A$5:$A$44,'Matters Register'!$D$5:$D$44,""))</f>
        <v/>
      </c>
      <c r="L49" s="6" t="n"/>
      <c r="M49" s="6" t="n"/>
      <c r="N49" s="9" t="n"/>
      <c r="O49" s="19" t="str">
        <f>IF(OR($H49="",$H49=0),"",IF(COUNTIFS($A$5:$A$64,$A49,$B$5:$B$64,"&gt;"&amp;$B49)&gt;0,"Yes","No"))</f>
        <v/>
      </c>
      <c r="P49" s="20" t="str">
        <f>IF(AND($H49&lt;&gt;"",$H49&lt;&gt;0,NOT(OR($L49="Reforecast",$L49="Accepted"))),"YES","")</f>
        <v/>
      </c>
      <c r="Q49" s="21" t="str">
        <f>IF(OR($H49="",$H49=0),"",IF(OR($L49="Reforecast",$L49="Accepted"),"Signed off: "&amp;$L49,IF($O49="Yes","Reforecast entered — confirm sign-off","Awaiting reforecast")))</f>
        <v/>
      </c>
    </row>
    <row r="50">
      <c r="A50" s="6" t="n"/>
      <c r="B50" s="11" t="n"/>
      <c r="C50" s="12" t="str">
        <f>IF($A50="","",_xlfn._xlws.XLOOKUP($A50,'Matters Register'!$A$5:$A$44,'Matters Register'!$E$5:$E$44,"?"))</f>
        <v/>
      </c>
      <c r="D50" s="13" t="n"/>
      <c r="E50" s="14" t="str">
        <f>IF($A50="","",SUMIFS($D$5:$D$64,$A$5:$A$64,$A50,$B$5:$B$64,"&lt;="&amp;$B50))</f>
        <v/>
      </c>
      <c r="F50" s="15" t="str">
        <f>IF(OR($A50="",$C50=0,$C50="?"),"",$E50/$C50)</f>
        <v/>
      </c>
      <c r="G50" s="16" t="str">
        <f>IF($A50="","",IF(COUNTIFS('Month-End Provisions'!$A$5:$A$1004,$A50,'Month-End Provisions'!$B$5:$B$1004,$B50)=0,"",SUMIFS('Month-End Provisions'!$C$5:$C$1004,'Month-End Provisions'!$A$5:$A$1004,$A50,'Month-End Provisions'!$B$5:$B$1004,$B50)))</f>
        <v/>
      </c>
      <c r="H50" s="17" t="str">
        <f>IF(OR($G50="",$D50=""),"",$G50-$D50)</f>
        <v/>
      </c>
      <c r="I50" s="16" t="str">
        <f>IF($A50="","",SUMIFS('Month-End Provisions'!$C$5:$C$1004,'Month-End Provisions'!$A$5:$A$1004,$A50,'Month-End Provisions'!$B$5:$B$1004,"&lt;="&amp;$B50))</f>
        <v/>
      </c>
      <c r="J50" s="14" t="str">
        <f>IF(OR($A50="",$C50="?"),"",$C50-$I50)</f>
        <v/>
      </c>
      <c r="K50" s="18" t="str">
        <f>IF($A50="","",_xlfn._xlws.XLOOKUP($A50,'Matters Register'!$A$5:$A$44,'Matters Register'!$D$5:$D$44,""))</f>
        <v/>
      </c>
      <c r="L50" s="6" t="n"/>
      <c r="M50" s="6" t="n"/>
      <c r="N50" s="9" t="n"/>
      <c r="O50" s="19" t="str">
        <f>IF(OR($H50="",$H50=0),"",IF(COUNTIFS($A$5:$A$64,$A50,$B$5:$B$64,"&gt;"&amp;$B50)&gt;0,"Yes","No"))</f>
        <v/>
      </c>
      <c r="P50" s="20" t="str">
        <f>IF(AND($H50&lt;&gt;"",$H50&lt;&gt;0,NOT(OR($L50="Reforecast",$L50="Accepted"))),"YES","")</f>
        <v/>
      </c>
      <c r="Q50" s="21" t="str">
        <f>IF(OR($H50="",$H50=0),"",IF(OR($L50="Reforecast",$L50="Accepted"),"Signed off: "&amp;$L50,IF($O50="Yes","Reforecast entered — confirm sign-off","Awaiting reforecast")))</f>
        <v/>
      </c>
    </row>
    <row r="51">
      <c r="A51" s="6" t="n"/>
      <c r="B51" s="11" t="n"/>
      <c r="C51" s="12" t="str">
        <f>IF($A51="","",_xlfn._xlws.XLOOKUP($A51,'Matters Register'!$A$5:$A$44,'Matters Register'!$E$5:$E$44,"?"))</f>
        <v/>
      </c>
      <c r="D51" s="13" t="n"/>
      <c r="E51" s="14" t="str">
        <f>IF($A51="","",SUMIFS($D$5:$D$64,$A$5:$A$64,$A51,$B$5:$B$64,"&lt;="&amp;$B51))</f>
        <v/>
      </c>
      <c r="F51" s="15" t="str">
        <f>IF(OR($A51="",$C51=0,$C51="?"),"",$E51/$C51)</f>
        <v/>
      </c>
      <c r="G51" s="16" t="str">
        <f>IF($A51="","",IF(COUNTIFS('Month-End Provisions'!$A$5:$A$1004,$A51,'Month-End Provisions'!$B$5:$B$1004,$B51)=0,"",SUMIFS('Month-End Provisions'!$C$5:$C$1004,'Month-End Provisions'!$A$5:$A$1004,$A51,'Month-End Provisions'!$B$5:$B$1004,$B51)))</f>
        <v/>
      </c>
      <c r="H51" s="17" t="str">
        <f>IF(OR($G51="",$D51=""),"",$G51-$D51)</f>
        <v/>
      </c>
      <c r="I51" s="16" t="str">
        <f>IF($A51="","",SUMIFS('Month-End Provisions'!$C$5:$C$1004,'Month-End Provisions'!$A$5:$A$1004,$A51,'Month-End Provisions'!$B$5:$B$1004,"&lt;="&amp;$B51))</f>
        <v/>
      </c>
      <c r="J51" s="14" t="str">
        <f>IF(OR($A51="",$C51="?"),"",$C51-$I51)</f>
        <v/>
      </c>
      <c r="K51" s="18" t="str">
        <f>IF($A51="","",_xlfn._xlws.XLOOKUP($A51,'Matters Register'!$A$5:$A$44,'Matters Register'!$D$5:$D$44,""))</f>
        <v/>
      </c>
      <c r="L51" s="6" t="n"/>
      <c r="M51" s="6" t="n"/>
      <c r="N51" s="9" t="n"/>
      <c r="O51" s="19" t="str">
        <f>IF(OR($H51="",$H51=0),"",IF(COUNTIFS($A$5:$A$64,$A51,$B$5:$B$64,"&gt;"&amp;$B51)&gt;0,"Yes","No"))</f>
        <v/>
      </c>
      <c r="P51" s="20" t="str">
        <f>IF(AND($H51&lt;&gt;"",$H51&lt;&gt;0,NOT(OR($L51="Reforecast",$L51="Accepted"))),"YES","")</f>
        <v/>
      </c>
      <c r="Q51" s="21" t="str">
        <f>IF(OR($H51="",$H51=0),"",IF(OR($L51="Reforecast",$L51="Accepted"),"Signed off: "&amp;$L51,IF($O51="Yes","Reforecast entered — confirm sign-off","Awaiting reforecast")))</f>
        <v/>
      </c>
    </row>
    <row r="52">
      <c r="A52" s="6" t="n"/>
      <c r="B52" s="11" t="n"/>
      <c r="C52" s="12" t="str">
        <f>IF($A52="","",_xlfn._xlws.XLOOKUP($A52,'Matters Register'!$A$5:$A$44,'Matters Register'!$E$5:$E$44,"?"))</f>
        <v/>
      </c>
      <c r="D52" s="13" t="n"/>
      <c r="E52" s="14" t="str">
        <f>IF($A52="","",SUMIFS($D$5:$D$64,$A$5:$A$64,$A52,$B$5:$B$64,"&lt;="&amp;$B52))</f>
        <v/>
      </c>
      <c r="F52" s="15" t="str">
        <f>IF(OR($A52="",$C52=0,$C52="?"),"",$E52/$C52)</f>
        <v/>
      </c>
      <c r="G52" s="16" t="str">
        <f>IF($A52="","",IF(COUNTIFS('Month-End Provisions'!$A$5:$A$1004,$A52,'Month-End Provisions'!$B$5:$B$1004,$B52)=0,"",SUMIFS('Month-End Provisions'!$C$5:$C$1004,'Month-End Provisions'!$A$5:$A$1004,$A52,'Month-End Provisions'!$B$5:$B$1004,$B52)))</f>
        <v/>
      </c>
      <c r="H52" s="17" t="str">
        <f>IF(OR($G52="",$D52=""),"",$G52-$D52)</f>
        <v/>
      </c>
      <c r="I52" s="16" t="str">
        <f>IF($A52="","",SUMIFS('Month-End Provisions'!$C$5:$C$1004,'Month-End Provisions'!$A$5:$A$1004,$A52,'Month-End Provisions'!$B$5:$B$1004,"&lt;="&amp;$B52))</f>
        <v/>
      </c>
      <c r="J52" s="14" t="str">
        <f>IF(OR($A52="",$C52="?"),"",$C52-$I52)</f>
        <v/>
      </c>
      <c r="K52" s="18" t="str">
        <f>IF($A52="","",_xlfn._xlws.XLOOKUP($A52,'Matters Register'!$A$5:$A$44,'Matters Register'!$D$5:$D$44,""))</f>
        <v/>
      </c>
      <c r="L52" s="6" t="n"/>
      <c r="M52" s="6" t="n"/>
      <c r="N52" s="9" t="n"/>
      <c r="O52" s="19" t="str">
        <f>IF(OR($H52="",$H52=0),"",IF(COUNTIFS($A$5:$A$64,$A52,$B$5:$B$64,"&gt;"&amp;$B52)&gt;0,"Yes","No"))</f>
        <v/>
      </c>
      <c r="P52" s="20" t="str">
        <f>IF(AND($H52&lt;&gt;"",$H52&lt;&gt;0,NOT(OR($L52="Reforecast",$L52="Accepted"))),"YES","")</f>
        <v/>
      </c>
      <c r="Q52" s="21" t="str">
        <f>IF(OR($H52="",$H52=0),"",IF(OR($L52="Reforecast",$L52="Accepted"),"Signed off: "&amp;$L52,IF($O52="Yes","Reforecast entered — confirm sign-off","Awaiting reforecast")))</f>
        <v/>
      </c>
    </row>
    <row r="53">
      <c r="A53" s="6" t="n"/>
      <c r="B53" s="11" t="n"/>
      <c r="C53" s="12" t="str">
        <f>IF($A53="","",_xlfn._xlws.XLOOKUP($A53,'Matters Register'!$A$5:$A$44,'Matters Register'!$E$5:$E$44,"?"))</f>
        <v/>
      </c>
      <c r="D53" s="13" t="n"/>
      <c r="E53" s="14" t="str">
        <f>IF($A53="","",SUMIFS($D$5:$D$64,$A$5:$A$64,$A53,$B$5:$B$64,"&lt;="&amp;$B53))</f>
        <v/>
      </c>
      <c r="F53" s="15" t="str">
        <f>IF(OR($A53="",$C53=0,$C53="?"),"",$E53/$C53)</f>
        <v/>
      </c>
      <c r="G53" s="16" t="str">
        <f>IF($A53="","",IF(COUNTIFS('Month-End Provisions'!$A$5:$A$1004,$A53,'Month-End Provisions'!$B$5:$B$1004,$B53)=0,"",SUMIFS('Month-End Provisions'!$C$5:$C$1004,'Month-End Provisions'!$A$5:$A$1004,$A53,'Month-End Provisions'!$B$5:$B$1004,$B53)))</f>
        <v/>
      </c>
      <c r="H53" s="17" t="str">
        <f>IF(OR($G53="",$D53=""),"",$G53-$D53)</f>
        <v/>
      </c>
      <c r="I53" s="16" t="str">
        <f>IF($A53="","",SUMIFS('Month-End Provisions'!$C$5:$C$1004,'Month-End Provisions'!$A$5:$A$1004,$A53,'Month-End Provisions'!$B$5:$B$1004,"&lt;="&amp;$B53))</f>
        <v/>
      </c>
      <c r="J53" s="14" t="str">
        <f>IF(OR($A53="",$C53="?"),"",$C53-$I53)</f>
        <v/>
      </c>
      <c r="K53" s="18" t="str">
        <f>IF($A53="","",_xlfn._xlws.XLOOKUP($A53,'Matters Register'!$A$5:$A$44,'Matters Register'!$D$5:$D$44,""))</f>
        <v/>
      </c>
      <c r="L53" s="6" t="n"/>
      <c r="M53" s="6" t="n"/>
      <c r="N53" s="9" t="n"/>
      <c r="O53" s="19" t="str">
        <f>IF(OR($H53="",$H53=0),"",IF(COUNTIFS($A$5:$A$64,$A53,$B$5:$B$64,"&gt;"&amp;$B53)&gt;0,"Yes","No"))</f>
        <v/>
      </c>
      <c r="P53" s="20" t="str">
        <f>IF(AND($H53&lt;&gt;"",$H53&lt;&gt;0,NOT(OR($L53="Reforecast",$L53="Accepted"))),"YES","")</f>
        <v/>
      </c>
      <c r="Q53" s="21" t="str">
        <f>IF(OR($H53="",$H53=0),"",IF(OR($L53="Reforecast",$L53="Accepted"),"Signed off: "&amp;$L53,IF($O53="Yes","Reforecast entered — confirm sign-off","Awaiting reforecast")))</f>
        <v/>
      </c>
    </row>
    <row r="54">
      <c r="A54" s="6" t="n"/>
      <c r="B54" s="11" t="n"/>
      <c r="C54" s="12" t="str">
        <f>IF($A54="","",_xlfn._xlws.XLOOKUP($A54,'Matters Register'!$A$5:$A$44,'Matters Register'!$E$5:$E$44,"?"))</f>
        <v/>
      </c>
      <c r="D54" s="13" t="n"/>
      <c r="E54" s="14" t="str">
        <f>IF($A54="","",SUMIFS($D$5:$D$64,$A$5:$A$64,$A54,$B$5:$B$64,"&lt;="&amp;$B54))</f>
        <v/>
      </c>
      <c r="F54" s="15" t="str">
        <f>IF(OR($A54="",$C54=0,$C54="?"),"",$E54/$C54)</f>
        <v/>
      </c>
      <c r="G54" s="16" t="str">
        <f>IF($A54="","",IF(COUNTIFS('Month-End Provisions'!$A$5:$A$1004,$A54,'Month-End Provisions'!$B$5:$B$1004,$B54)=0,"",SUMIFS('Month-End Provisions'!$C$5:$C$1004,'Month-End Provisions'!$A$5:$A$1004,$A54,'Month-End Provisions'!$B$5:$B$1004,$B54)))</f>
        <v/>
      </c>
      <c r="H54" s="17" t="str">
        <f>IF(OR($G54="",$D54=""),"",$G54-$D54)</f>
        <v/>
      </c>
      <c r="I54" s="16" t="str">
        <f>IF($A54="","",SUMIFS('Month-End Provisions'!$C$5:$C$1004,'Month-End Provisions'!$A$5:$A$1004,$A54,'Month-End Provisions'!$B$5:$B$1004,"&lt;="&amp;$B54))</f>
        <v/>
      </c>
      <c r="J54" s="14" t="str">
        <f>IF(OR($A54="",$C54="?"),"",$C54-$I54)</f>
        <v/>
      </c>
      <c r="K54" s="18" t="str">
        <f>IF($A54="","",_xlfn._xlws.XLOOKUP($A54,'Matters Register'!$A$5:$A$44,'Matters Register'!$D$5:$D$44,""))</f>
        <v/>
      </c>
      <c r="L54" s="6" t="n"/>
      <c r="M54" s="6" t="n"/>
      <c r="N54" s="9" t="n"/>
      <c r="O54" s="19" t="str">
        <f>IF(OR($H54="",$H54=0),"",IF(COUNTIFS($A$5:$A$64,$A54,$B$5:$B$64,"&gt;"&amp;$B54)&gt;0,"Yes","No"))</f>
        <v/>
      </c>
      <c r="P54" s="20" t="str">
        <f>IF(AND($H54&lt;&gt;"",$H54&lt;&gt;0,NOT(OR($L54="Reforecast",$L54="Accepted"))),"YES","")</f>
        <v/>
      </c>
      <c r="Q54" s="21" t="str">
        <f>IF(OR($H54="",$H54=0),"",IF(OR($L54="Reforecast",$L54="Accepted"),"Signed off: "&amp;$L54,IF($O54="Yes","Reforecast entered — confirm sign-off","Awaiting reforecast")))</f>
        <v/>
      </c>
    </row>
    <row r="55">
      <c r="A55" s="6" t="n"/>
      <c r="B55" s="11" t="n"/>
      <c r="C55" s="12" t="str">
        <f>IF($A55="","",_xlfn._xlws.XLOOKUP($A55,'Matters Register'!$A$5:$A$44,'Matters Register'!$E$5:$E$44,"?"))</f>
        <v/>
      </c>
      <c r="D55" s="13" t="n"/>
      <c r="E55" s="14" t="str">
        <f>IF($A55="","",SUMIFS($D$5:$D$64,$A$5:$A$64,$A55,$B$5:$B$64,"&lt;="&amp;$B55))</f>
        <v/>
      </c>
      <c r="F55" s="15" t="str">
        <f>IF(OR($A55="",$C55=0,$C55="?"),"",$E55/$C55)</f>
        <v/>
      </c>
      <c r="G55" s="16" t="str">
        <f>IF($A55="","",IF(COUNTIFS('Month-End Provisions'!$A$5:$A$1004,$A55,'Month-End Provisions'!$B$5:$B$1004,$B55)=0,"",SUMIFS('Month-End Provisions'!$C$5:$C$1004,'Month-End Provisions'!$A$5:$A$1004,$A55,'Month-End Provisions'!$B$5:$B$1004,$B55)))</f>
        <v/>
      </c>
      <c r="H55" s="17" t="str">
        <f>IF(OR($G55="",$D55=""),"",$G55-$D55)</f>
        <v/>
      </c>
      <c r="I55" s="16" t="str">
        <f>IF($A55="","",SUMIFS('Month-End Provisions'!$C$5:$C$1004,'Month-End Provisions'!$A$5:$A$1004,$A55,'Month-End Provisions'!$B$5:$B$1004,"&lt;="&amp;$B55))</f>
        <v/>
      </c>
      <c r="J55" s="14" t="str">
        <f>IF(OR($A55="",$C55="?"),"",$C55-$I55)</f>
        <v/>
      </c>
      <c r="K55" s="18" t="str">
        <f>IF($A55="","",_xlfn._xlws.XLOOKUP($A55,'Matters Register'!$A$5:$A$44,'Matters Register'!$D$5:$D$44,""))</f>
        <v/>
      </c>
      <c r="L55" s="6" t="n"/>
      <c r="M55" s="6" t="n"/>
      <c r="N55" s="9" t="n"/>
      <c r="O55" s="19" t="str">
        <f>IF(OR($H55="",$H55=0),"",IF(COUNTIFS($A$5:$A$64,$A55,$B$5:$B$64,"&gt;"&amp;$B55)&gt;0,"Yes","No"))</f>
        <v/>
      </c>
      <c r="P55" s="20" t="str">
        <f>IF(AND($H55&lt;&gt;"",$H55&lt;&gt;0,NOT(OR($L55="Reforecast",$L55="Accepted"))),"YES","")</f>
        <v/>
      </c>
      <c r="Q55" s="21" t="str">
        <f>IF(OR($H55="",$H55=0),"",IF(OR($L55="Reforecast",$L55="Accepted"),"Signed off: "&amp;$L55,IF($O55="Yes","Reforecast entered — confirm sign-off","Awaiting reforecast")))</f>
        <v/>
      </c>
    </row>
    <row r="56">
      <c r="A56" s="6" t="n"/>
      <c r="B56" s="11" t="n"/>
      <c r="C56" s="12" t="str">
        <f>IF($A56="","",_xlfn._xlws.XLOOKUP($A56,'Matters Register'!$A$5:$A$44,'Matters Register'!$E$5:$E$44,"?"))</f>
        <v/>
      </c>
      <c r="D56" s="13" t="n"/>
      <c r="E56" s="14" t="str">
        <f>IF($A56="","",SUMIFS($D$5:$D$64,$A$5:$A$64,$A56,$B$5:$B$64,"&lt;="&amp;$B56))</f>
        <v/>
      </c>
      <c r="F56" s="15" t="str">
        <f>IF(OR($A56="",$C56=0,$C56="?"),"",$E56/$C56)</f>
        <v/>
      </c>
      <c r="G56" s="16" t="str">
        <f>IF($A56="","",IF(COUNTIFS('Month-End Provisions'!$A$5:$A$1004,$A56,'Month-End Provisions'!$B$5:$B$1004,$B56)=0,"",SUMIFS('Month-End Provisions'!$C$5:$C$1004,'Month-End Provisions'!$A$5:$A$1004,$A56,'Month-End Provisions'!$B$5:$B$1004,$B56)))</f>
        <v/>
      </c>
      <c r="H56" s="17" t="str">
        <f>IF(OR($G56="",$D56=""),"",$G56-$D56)</f>
        <v/>
      </c>
      <c r="I56" s="16" t="str">
        <f>IF($A56="","",SUMIFS('Month-End Provisions'!$C$5:$C$1004,'Month-End Provisions'!$A$5:$A$1004,$A56,'Month-End Provisions'!$B$5:$B$1004,"&lt;="&amp;$B56))</f>
        <v/>
      </c>
      <c r="J56" s="14" t="str">
        <f>IF(OR($A56="",$C56="?"),"",$C56-$I56)</f>
        <v/>
      </c>
      <c r="K56" s="18" t="str">
        <f>IF($A56="","",_xlfn._xlws.XLOOKUP($A56,'Matters Register'!$A$5:$A$44,'Matters Register'!$D$5:$D$44,""))</f>
        <v/>
      </c>
      <c r="L56" s="6" t="n"/>
      <c r="M56" s="6" t="n"/>
      <c r="N56" s="9" t="n"/>
      <c r="O56" s="19" t="str">
        <f>IF(OR($H56="",$H56=0),"",IF(COUNTIFS($A$5:$A$64,$A56,$B$5:$B$64,"&gt;"&amp;$B56)&gt;0,"Yes","No"))</f>
        <v/>
      </c>
      <c r="P56" s="20" t="str">
        <f>IF(AND($H56&lt;&gt;"",$H56&lt;&gt;0,NOT(OR($L56="Reforecast",$L56="Accepted"))),"YES","")</f>
        <v/>
      </c>
      <c r="Q56" s="21" t="str">
        <f>IF(OR($H56="",$H56=0),"",IF(OR($L56="Reforecast",$L56="Accepted"),"Signed off: "&amp;$L56,IF($O56="Yes","Reforecast entered — confirm sign-off","Awaiting reforecast")))</f>
        <v/>
      </c>
    </row>
    <row r="57">
      <c r="A57" s="6" t="n"/>
      <c r="B57" s="11" t="n"/>
      <c r="C57" s="12" t="str">
        <f>IF($A57="","",_xlfn._xlws.XLOOKUP($A57,'Matters Register'!$A$5:$A$44,'Matters Register'!$E$5:$E$44,"?"))</f>
        <v/>
      </c>
      <c r="D57" s="13" t="n"/>
      <c r="E57" s="14" t="str">
        <f>IF($A57="","",SUMIFS($D$5:$D$64,$A$5:$A$64,$A57,$B$5:$B$64,"&lt;="&amp;$B57))</f>
        <v/>
      </c>
      <c r="F57" s="15" t="str">
        <f>IF(OR($A57="",$C57=0,$C57="?"),"",$E57/$C57)</f>
        <v/>
      </c>
      <c r="G57" s="16" t="str">
        <f>IF($A57="","",IF(COUNTIFS('Month-End Provisions'!$A$5:$A$1004,$A57,'Month-End Provisions'!$B$5:$B$1004,$B57)=0,"",SUMIFS('Month-End Provisions'!$C$5:$C$1004,'Month-End Provisions'!$A$5:$A$1004,$A57,'Month-End Provisions'!$B$5:$B$1004,$B57)))</f>
        <v/>
      </c>
      <c r="H57" s="17" t="str">
        <f>IF(OR($G57="",$D57=""),"",$G57-$D57)</f>
        <v/>
      </c>
      <c r="I57" s="16" t="str">
        <f>IF($A57="","",SUMIFS('Month-End Provisions'!$C$5:$C$1004,'Month-End Provisions'!$A$5:$A$1004,$A57,'Month-End Provisions'!$B$5:$B$1004,"&lt;="&amp;$B57))</f>
        <v/>
      </c>
      <c r="J57" s="14" t="str">
        <f>IF(OR($A57="",$C57="?"),"",$C57-$I57)</f>
        <v/>
      </c>
      <c r="K57" s="18" t="str">
        <f>IF($A57="","",_xlfn._xlws.XLOOKUP($A57,'Matters Register'!$A$5:$A$44,'Matters Register'!$D$5:$D$44,""))</f>
        <v/>
      </c>
      <c r="L57" s="6" t="n"/>
      <c r="M57" s="6" t="n"/>
      <c r="N57" s="9" t="n"/>
      <c r="O57" s="19" t="str">
        <f>IF(OR($H57="",$H57=0),"",IF(COUNTIFS($A$5:$A$64,$A57,$B$5:$B$64,"&gt;"&amp;$B57)&gt;0,"Yes","No"))</f>
        <v/>
      </c>
      <c r="P57" s="20" t="str">
        <f>IF(AND($H57&lt;&gt;"",$H57&lt;&gt;0,NOT(OR($L57="Reforecast",$L57="Accepted"))),"YES","")</f>
        <v/>
      </c>
      <c r="Q57" s="21" t="str">
        <f>IF(OR($H57="",$H57=0),"",IF(OR($L57="Reforecast",$L57="Accepted"),"Signed off: "&amp;$L57,IF($O57="Yes","Reforecast entered — confirm sign-off","Awaiting reforecast")))</f>
        <v/>
      </c>
    </row>
    <row r="58">
      <c r="A58" s="6" t="n"/>
      <c r="B58" s="11" t="n"/>
      <c r="C58" s="12" t="str">
        <f>IF($A58="","",_xlfn._xlws.XLOOKUP($A58,'Matters Register'!$A$5:$A$44,'Matters Register'!$E$5:$E$44,"?"))</f>
        <v/>
      </c>
      <c r="D58" s="13" t="n"/>
      <c r="E58" s="14" t="str">
        <f>IF($A58="","",SUMIFS($D$5:$D$64,$A$5:$A$64,$A58,$B$5:$B$64,"&lt;="&amp;$B58))</f>
        <v/>
      </c>
      <c r="F58" s="15" t="str">
        <f>IF(OR($A58="",$C58=0,$C58="?"),"",$E58/$C58)</f>
        <v/>
      </c>
      <c r="G58" s="16" t="str">
        <f>IF($A58="","",IF(COUNTIFS('Month-End Provisions'!$A$5:$A$1004,$A58,'Month-End Provisions'!$B$5:$B$1004,$B58)=0,"",SUMIFS('Month-End Provisions'!$C$5:$C$1004,'Month-End Provisions'!$A$5:$A$1004,$A58,'Month-End Provisions'!$B$5:$B$1004,$B58)))</f>
        <v/>
      </c>
      <c r="H58" s="17" t="str">
        <f>IF(OR($G58="",$D58=""),"",$G58-$D58)</f>
        <v/>
      </c>
      <c r="I58" s="16" t="str">
        <f>IF($A58="","",SUMIFS('Month-End Provisions'!$C$5:$C$1004,'Month-End Provisions'!$A$5:$A$1004,$A58,'Month-End Provisions'!$B$5:$B$1004,"&lt;="&amp;$B58))</f>
        <v/>
      </c>
      <c r="J58" s="14" t="str">
        <f>IF(OR($A58="",$C58="?"),"",$C58-$I58)</f>
        <v/>
      </c>
      <c r="K58" s="18" t="str">
        <f>IF($A58="","",_xlfn._xlws.XLOOKUP($A58,'Matters Register'!$A$5:$A$44,'Matters Register'!$D$5:$D$44,""))</f>
        <v/>
      </c>
      <c r="L58" s="6" t="n"/>
      <c r="M58" s="6" t="n"/>
      <c r="N58" s="9" t="n"/>
      <c r="O58" s="19" t="str">
        <f>IF(OR($H58="",$H58=0),"",IF(COUNTIFS($A$5:$A$64,$A58,$B$5:$B$64,"&gt;"&amp;$B58)&gt;0,"Yes","No"))</f>
        <v/>
      </c>
      <c r="P58" s="20" t="str">
        <f>IF(AND($H58&lt;&gt;"",$H58&lt;&gt;0,NOT(OR($L58="Reforecast",$L58="Accepted"))),"YES","")</f>
        <v/>
      </c>
      <c r="Q58" s="21" t="str">
        <f>IF(OR($H58="",$H58=0),"",IF(OR($L58="Reforecast",$L58="Accepted"),"Signed off: "&amp;$L58,IF($O58="Yes","Reforecast entered — confirm sign-off","Awaiting reforecast")))</f>
        <v/>
      </c>
    </row>
    <row r="59">
      <c r="A59" s="6" t="n"/>
      <c r="B59" s="11" t="n"/>
      <c r="C59" s="12" t="str">
        <f>IF($A59="","",_xlfn._xlws.XLOOKUP($A59,'Matters Register'!$A$5:$A$44,'Matters Register'!$E$5:$E$44,"?"))</f>
        <v/>
      </c>
      <c r="D59" s="13" t="n"/>
      <c r="E59" s="14" t="str">
        <f>IF($A59="","",SUMIFS($D$5:$D$64,$A$5:$A$64,$A59,$B$5:$B$64,"&lt;="&amp;$B59))</f>
        <v/>
      </c>
      <c r="F59" s="15" t="str">
        <f>IF(OR($A59="",$C59=0,$C59="?"),"",$E59/$C59)</f>
        <v/>
      </c>
      <c r="G59" s="16" t="str">
        <f>IF($A59="","",IF(COUNTIFS('Month-End Provisions'!$A$5:$A$1004,$A59,'Month-End Provisions'!$B$5:$B$1004,$B59)=0,"",SUMIFS('Month-End Provisions'!$C$5:$C$1004,'Month-End Provisions'!$A$5:$A$1004,$A59,'Month-End Provisions'!$B$5:$B$1004,$B59)))</f>
        <v/>
      </c>
      <c r="H59" s="17" t="str">
        <f>IF(OR($G59="",$D59=""),"",$G59-$D59)</f>
        <v/>
      </c>
      <c r="I59" s="16" t="str">
        <f>IF($A59="","",SUMIFS('Month-End Provisions'!$C$5:$C$1004,'Month-End Provisions'!$A$5:$A$1004,$A59,'Month-End Provisions'!$B$5:$B$1004,"&lt;="&amp;$B59))</f>
        <v/>
      </c>
      <c r="J59" s="14" t="str">
        <f>IF(OR($A59="",$C59="?"),"",$C59-$I59)</f>
        <v/>
      </c>
      <c r="K59" s="18" t="str">
        <f>IF($A59="","",_xlfn._xlws.XLOOKUP($A59,'Matters Register'!$A$5:$A$44,'Matters Register'!$D$5:$D$44,""))</f>
        <v/>
      </c>
      <c r="L59" s="6" t="n"/>
      <c r="M59" s="6" t="n"/>
      <c r="N59" s="9" t="n"/>
      <c r="O59" s="19" t="str">
        <f>IF(OR($H59="",$H59=0),"",IF(COUNTIFS($A$5:$A$64,$A59,$B$5:$B$64,"&gt;"&amp;$B59)&gt;0,"Yes","No"))</f>
        <v/>
      </c>
      <c r="P59" s="20" t="str">
        <f>IF(AND($H59&lt;&gt;"",$H59&lt;&gt;0,NOT(OR($L59="Reforecast",$L59="Accepted"))),"YES","")</f>
        <v/>
      </c>
      <c r="Q59" s="21" t="str">
        <f>IF(OR($H59="",$H59=0),"",IF(OR($L59="Reforecast",$L59="Accepted"),"Signed off: "&amp;$L59,IF($O59="Yes","Reforecast entered — confirm sign-off","Awaiting reforecast")))</f>
        <v/>
      </c>
    </row>
    <row r="60">
      <c r="A60" s="6" t="n"/>
      <c r="B60" s="11" t="n"/>
      <c r="C60" s="12" t="str">
        <f>IF($A60="","",_xlfn._xlws.XLOOKUP($A60,'Matters Register'!$A$5:$A$44,'Matters Register'!$E$5:$E$44,"?"))</f>
        <v/>
      </c>
      <c r="D60" s="13" t="n"/>
      <c r="E60" s="14" t="str">
        <f>IF($A60="","",SUMIFS($D$5:$D$64,$A$5:$A$64,$A60,$B$5:$B$64,"&lt;="&amp;$B60))</f>
        <v/>
      </c>
      <c r="F60" s="15" t="str">
        <f>IF(OR($A60="",$C60=0,$C60="?"),"",$E60/$C60)</f>
        <v/>
      </c>
      <c r="G60" s="16" t="str">
        <f>IF($A60="","",IF(COUNTIFS('Month-End Provisions'!$A$5:$A$1004,$A60,'Month-End Provisions'!$B$5:$B$1004,$B60)=0,"",SUMIFS('Month-End Provisions'!$C$5:$C$1004,'Month-End Provisions'!$A$5:$A$1004,$A60,'Month-End Provisions'!$B$5:$B$1004,$B60)))</f>
        <v/>
      </c>
      <c r="H60" s="17" t="str">
        <f>IF(OR($G60="",$D60=""),"",$G60-$D60)</f>
        <v/>
      </c>
      <c r="I60" s="16" t="str">
        <f>IF($A60="","",SUMIFS('Month-End Provisions'!$C$5:$C$1004,'Month-End Provisions'!$A$5:$A$1004,$A60,'Month-End Provisions'!$B$5:$B$1004,"&lt;="&amp;$B60))</f>
        <v/>
      </c>
      <c r="J60" s="14" t="str">
        <f>IF(OR($A60="",$C60="?"),"",$C60-$I60)</f>
        <v/>
      </c>
      <c r="K60" s="18" t="str">
        <f>IF($A60="","",_xlfn._xlws.XLOOKUP($A60,'Matters Register'!$A$5:$A$44,'Matters Register'!$D$5:$D$44,""))</f>
        <v/>
      </c>
      <c r="L60" s="6" t="n"/>
      <c r="M60" s="6" t="n"/>
      <c r="N60" s="9" t="n"/>
      <c r="O60" s="19" t="str">
        <f>IF(OR($H60="",$H60=0),"",IF(COUNTIFS($A$5:$A$64,$A60,$B$5:$B$64,"&gt;"&amp;$B60)&gt;0,"Yes","No"))</f>
        <v/>
      </c>
      <c r="P60" s="20" t="str">
        <f>IF(AND($H60&lt;&gt;"",$H60&lt;&gt;0,NOT(OR($L60="Reforecast",$L60="Accepted"))),"YES","")</f>
        <v/>
      </c>
      <c r="Q60" s="21" t="str">
        <f>IF(OR($H60="",$H60=0),"",IF(OR($L60="Reforecast",$L60="Accepted"),"Signed off: "&amp;$L60,IF($O60="Yes","Reforecast entered — confirm sign-off","Awaiting reforecast")))</f>
        <v/>
      </c>
    </row>
    <row r="61">
      <c r="A61" s="6" t="n"/>
      <c r="B61" s="11" t="n"/>
      <c r="C61" s="12" t="str">
        <f>IF($A61="","",_xlfn._xlws.XLOOKUP($A61,'Matters Register'!$A$5:$A$44,'Matters Register'!$E$5:$E$44,"?"))</f>
        <v/>
      </c>
      <c r="D61" s="13" t="n"/>
      <c r="E61" s="14" t="str">
        <f>IF($A61="","",SUMIFS($D$5:$D$64,$A$5:$A$64,$A61,$B$5:$B$64,"&lt;="&amp;$B61))</f>
        <v/>
      </c>
      <c r="F61" s="15" t="str">
        <f>IF(OR($A61="",$C61=0,$C61="?"),"",$E61/$C61)</f>
        <v/>
      </c>
      <c r="G61" s="16" t="str">
        <f>IF($A61="","",IF(COUNTIFS('Month-End Provisions'!$A$5:$A$1004,$A61,'Month-End Provisions'!$B$5:$B$1004,$B61)=0,"",SUMIFS('Month-End Provisions'!$C$5:$C$1004,'Month-End Provisions'!$A$5:$A$1004,$A61,'Month-End Provisions'!$B$5:$B$1004,$B61)))</f>
        <v/>
      </c>
      <c r="H61" s="17" t="str">
        <f>IF(OR($G61="",$D61=""),"",$G61-$D61)</f>
        <v/>
      </c>
      <c r="I61" s="16" t="str">
        <f>IF($A61="","",SUMIFS('Month-End Provisions'!$C$5:$C$1004,'Month-End Provisions'!$A$5:$A$1004,$A61,'Month-End Provisions'!$B$5:$B$1004,"&lt;="&amp;$B61))</f>
        <v/>
      </c>
      <c r="J61" s="14" t="str">
        <f>IF(OR($A61="",$C61="?"),"",$C61-$I61)</f>
        <v/>
      </c>
      <c r="K61" s="18" t="str">
        <f>IF($A61="","",_xlfn._xlws.XLOOKUP($A61,'Matters Register'!$A$5:$A$44,'Matters Register'!$D$5:$D$44,""))</f>
        <v/>
      </c>
      <c r="L61" s="6" t="n"/>
      <c r="M61" s="6" t="n"/>
      <c r="N61" s="9" t="n"/>
      <c r="O61" s="19" t="str">
        <f>IF(OR($H61="",$H61=0),"",IF(COUNTIFS($A$5:$A$64,$A61,$B$5:$B$64,"&gt;"&amp;$B61)&gt;0,"Yes","No"))</f>
        <v/>
      </c>
      <c r="P61" s="20" t="str">
        <f>IF(AND($H61&lt;&gt;"",$H61&lt;&gt;0,NOT(OR($L61="Reforecast",$L61="Accepted"))),"YES","")</f>
        <v/>
      </c>
      <c r="Q61" s="21" t="str">
        <f>IF(OR($H61="",$H61=0),"",IF(OR($L61="Reforecast",$L61="Accepted"),"Signed off: "&amp;$L61,IF($O61="Yes","Reforecast entered — confirm sign-off","Awaiting reforecast")))</f>
        <v/>
      </c>
    </row>
    <row r="62">
      <c r="A62" s="6" t="n"/>
      <c r="B62" s="11" t="n"/>
      <c r="C62" s="12" t="str">
        <f>IF($A62="","",_xlfn._xlws.XLOOKUP($A62,'Matters Register'!$A$5:$A$44,'Matters Register'!$E$5:$E$44,"?"))</f>
        <v/>
      </c>
      <c r="D62" s="13" t="n"/>
      <c r="E62" s="14" t="str">
        <f>IF($A62="","",SUMIFS($D$5:$D$64,$A$5:$A$64,$A62,$B$5:$B$64,"&lt;="&amp;$B62))</f>
        <v/>
      </c>
      <c r="F62" s="15" t="str">
        <f>IF(OR($A62="",$C62=0,$C62="?"),"",$E62/$C62)</f>
        <v/>
      </c>
      <c r="G62" s="16" t="str">
        <f>IF($A62="","",IF(COUNTIFS('Month-End Provisions'!$A$5:$A$1004,$A62,'Month-End Provisions'!$B$5:$B$1004,$B62)=0,"",SUMIFS('Month-End Provisions'!$C$5:$C$1004,'Month-End Provisions'!$A$5:$A$1004,$A62,'Month-End Provisions'!$B$5:$B$1004,$B62)))</f>
        <v/>
      </c>
      <c r="H62" s="17" t="str">
        <f>IF(OR($G62="",$D62=""),"",$G62-$D62)</f>
        <v/>
      </c>
      <c r="I62" s="16" t="str">
        <f>IF($A62="","",SUMIFS('Month-End Provisions'!$C$5:$C$1004,'Month-End Provisions'!$A$5:$A$1004,$A62,'Month-End Provisions'!$B$5:$B$1004,"&lt;="&amp;$B62))</f>
        <v/>
      </c>
      <c r="J62" s="14" t="str">
        <f>IF(OR($A62="",$C62="?"),"",$C62-$I62)</f>
        <v/>
      </c>
      <c r="K62" s="18" t="str">
        <f>IF($A62="","",_xlfn._xlws.XLOOKUP($A62,'Matters Register'!$A$5:$A$44,'Matters Register'!$D$5:$D$44,""))</f>
        <v/>
      </c>
      <c r="L62" s="6" t="n"/>
      <c r="M62" s="6" t="n"/>
      <c r="N62" s="9" t="n"/>
      <c r="O62" s="19" t="str">
        <f>IF(OR($H62="",$H62=0),"",IF(COUNTIFS($A$5:$A$64,$A62,$B$5:$B$64,"&gt;"&amp;$B62)&gt;0,"Yes","No"))</f>
        <v/>
      </c>
      <c r="P62" s="20" t="str">
        <f>IF(AND($H62&lt;&gt;"",$H62&lt;&gt;0,NOT(OR($L62="Reforecast",$L62="Accepted"))),"YES","")</f>
        <v/>
      </c>
      <c r="Q62" s="21" t="str">
        <f>IF(OR($H62="",$H62=0),"",IF(OR($L62="Reforecast",$L62="Accepted"),"Signed off: "&amp;$L62,IF($O62="Yes","Reforecast entered — confirm sign-off","Awaiting reforecast")))</f>
        <v/>
      </c>
    </row>
    <row r="63">
      <c r="A63" s="6" t="n"/>
      <c r="B63" s="11" t="n"/>
      <c r="C63" s="12" t="str">
        <f>IF($A63="","",_xlfn._xlws.XLOOKUP($A63,'Matters Register'!$A$5:$A$44,'Matters Register'!$E$5:$E$44,"?"))</f>
        <v/>
      </c>
      <c r="D63" s="13" t="n"/>
      <c r="E63" s="14" t="str">
        <f>IF($A63="","",SUMIFS($D$5:$D$64,$A$5:$A$64,$A63,$B$5:$B$64,"&lt;="&amp;$B63))</f>
        <v/>
      </c>
      <c r="F63" s="15" t="str">
        <f>IF(OR($A63="",$C63=0,$C63="?"),"",$E63/$C63)</f>
        <v/>
      </c>
      <c r="G63" s="16" t="str">
        <f>IF($A63="","",IF(COUNTIFS('Month-End Provisions'!$A$5:$A$1004,$A63,'Month-End Provisions'!$B$5:$B$1004,$B63)=0,"",SUMIFS('Month-End Provisions'!$C$5:$C$1004,'Month-End Provisions'!$A$5:$A$1004,$A63,'Month-End Provisions'!$B$5:$B$1004,$B63)))</f>
        <v/>
      </c>
      <c r="H63" s="17" t="str">
        <f>IF(OR($G63="",$D63=""),"",$G63-$D63)</f>
        <v/>
      </c>
      <c r="I63" s="16" t="str">
        <f>IF($A63="","",SUMIFS('Month-End Provisions'!$C$5:$C$1004,'Month-End Provisions'!$A$5:$A$1004,$A63,'Month-End Provisions'!$B$5:$B$1004,"&lt;="&amp;$B63))</f>
        <v/>
      </c>
      <c r="J63" s="14" t="str">
        <f>IF(OR($A63="",$C63="?"),"",$C63-$I63)</f>
        <v/>
      </c>
      <c r="K63" s="18" t="str">
        <f>IF($A63="","",_xlfn._xlws.XLOOKUP($A63,'Matters Register'!$A$5:$A$44,'Matters Register'!$D$5:$D$44,""))</f>
        <v/>
      </c>
      <c r="L63" s="6" t="n"/>
      <c r="M63" s="6" t="n"/>
      <c r="N63" s="9" t="n"/>
      <c r="O63" s="19" t="str">
        <f>IF(OR($H63="",$H63=0),"",IF(COUNTIFS($A$5:$A$64,$A63,$B$5:$B$64,"&gt;"&amp;$B63)&gt;0,"Yes","No"))</f>
        <v/>
      </c>
      <c r="P63" s="20" t="str">
        <f>IF(AND($H63&lt;&gt;"",$H63&lt;&gt;0,NOT(OR($L63="Reforecast",$L63="Accepted"))),"YES","")</f>
        <v/>
      </c>
      <c r="Q63" s="21" t="str">
        <f>IF(OR($H63="",$H63=0),"",IF(OR($L63="Reforecast",$L63="Accepted"),"Signed off: "&amp;$L63,IF($O63="Yes","Reforecast entered — confirm sign-off","Awaiting reforecast")))</f>
        <v/>
      </c>
    </row>
    <row r="64">
      <c r="A64" s="6" t="n"/>
      <c r="B64" s="11" t="n"/>
      <c r="C64" s="12" t="str">
        <f>IF($A64="","",_xlfn._xlws.XLOOKUP($A64,'Matters Register'!$A$5:$A$44,'Matters Register'!$E$5:$E$44,"?"))</f>
        <v/>
      </c>
      <c r="D64" s="13" t="n"/>
      <c r="E64" s="14" t="str">
        <f>IF($A64="","",SUMIFS($D$5:$D$64,$A$5:$A$64,$A64,$B$5:$B$64,"&lt;="&amp;$B64))</f>
        <v/>
      </c>
      <c r="F64" s="15" t="str">
        <f>IF(OR($A64="",$C64=0,$C64="?"),"",$E64/$C64)</f>
        <v/>
      </c>
      <c r="G64" s="16" t="str">
        <f>IF($A64="","",IF(COUNTIFS('Month-End Provisions'!$A$5:$A$1004,$A64,'Month-End Provisions'!$B$5:$B$1004,$B64)=0,"",SUMIFS('Month-End Provisions'!$C$5:$C$1004,'Month-End Provisions'!$A$5:$A$1004,$A64,'Month-End Provisions'!$B$5:$B$1004,$B64)))</f>
        <v/>
      </c>
      <c r="H64" s="17" t="str">
        <f>IF(OR($G64="",$D64=""),"",$G64-$D64)</f>
        <v/>
      </c>
      <c r="I64" s="16" t="str">
        <f>IF($A64="","",SUMIFS('Month-End Provisions'!$C$5:$C$1004,'Month-End Provisions'!$A$5:$A$1004,$A64,'Month-End Provisions'!$B$5:$B$1004,"&lt;="&amp;$B64))</f>
        <v/>
      </c>
      <c r="J64" s="14" t="str">
        <f>IF(OR($A64="",$C64="?"),"",$C64-$I64)</f>
        <v/>
      </c>
      <c r="K64" s="18" t="str">
        <f>IF($A64="","",_xlfn._xlws.XLOOKUP($A64,'Matters Register'!$A$5:$A$44,'Matters Register'!$D$5:$D$44,""))</f>
        <v/>
      </c>
      <c r="L64" s="6" t="n"/>
      <c r="M64" s="6" t="n"/>
      <c r="N64" s="9" t="n"/>
      <c r="O64" s="19" t="str">
        <f>IF(OR($H64="",$H64=0),"",IF(COUNTIFS($A$5:$A$64,$A64,$B$5:$B$64,"&gt;"&amp;$B64)&gt;0,"Yes","No"))</f>
        <v/>
      </c>
      <c r="P64" s="20" t="str">
        <f>IF(AND($H64&lt;&gt;"",$H64&lt;&gt;0,NOT(OR($L64="Reforecast",$L64="Accepted"))),"YES","")</f>
        <v/>
      </c>
      <c r="Q64" s="21" t="str">
        <f>IF(OR($H64="",$H64=0),"",IF(OR($L64="Reforecast",$L64="Accepted"),"Signed off: "&amp;$L64,IF($O64="Yes","Reforecast entered — confirm sign-off","Awaiting reforecast")))</f>
        <v/>
      </c>
    </row>
  </sheetData>
  <autoFilter ref="A4:Q64"/>
  <conditionalFormatting sqref="H5:H6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J5:J64">
    <cfRule type="cellIs" priority="3" operator="lessThan" dxfId="0">
      <formula>0</formula>
    </cfRule>
  </conditionalFormatting>
  <conditionalFormatting sqref="P5:P64">
    <cfRule type="cellIs" priority="4" operator="equal" dxfId="0">
      <formula>"YES"</formula>
    </cfRule>
  </conditionalFormatting>
  <conditionalFormatting sqref="Q5:Q64">
    <cfRule type="expression" priority="5" dxfId="1">
      <formula>AND($Q5&lt;&gt;"",LEFT($Q5,6)&lt;&gt;"Signed")</formula>
    </cfRule>
  </conditionalFormatting>
  <dataValidations count="3">
    <dataValidation sqref="A5:A64" showDropDown="0" showInputMessage="0" showErrorMessage="0" allowBlank="1" type="list">
      <formula1>='Matters Register'!$A$5:$A$44</formula1>
    </dataValidation>
    <dataValidation sqref="D5:D64" showDropDown="0" showInputMessage="0" showErrorMessage="0" allowBlank="1" errorTitle="Forecast £" error="Enter the forecast fee to recognise this month (£)." type="decimal" operator="greaterThanOrEqual">
      <formula1>0</formula1>
    </dataValidation>
    <dataValidation sqref="L5:L64" showDropDown="0" showInputMessage="0" showErrorMessage="0" allowBlank="1" type="list">
      <formula1>"Open,Reforecast,Accepted"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Month-End Provisions (Net Fee Income)</t>
        </is>
      </c>
    </row>
    <row r="2">
      <c r="A2" s="2" t="inlineStr">
        <is>
          <t>Paste your monthly NFI provisions extract here.</t>
        </is>
      </c>
    </row>
    <row r="4">
      <c r="A4" s="5" t="inlineStr">
        <is>
          <t>Matter Code</t>
        </is>
      </c>
      <c r="B4" s="5" t="inlineStr">
        <is>
          <t>Month</t>
        </is>
      </c>
      <c r="C4" s="5" t="inlineStr">
        <is>
          <t>NFI Amount (£)</t>
        </is>
      </c>
    </row>
    <row r="5">
      <c r="A5" s="6" t="inlineStr">
        <is>
          <t>M-1001</t>
        </is>
      </c>
      <c r="B5" s="11" t="n">
        <v>46266</v>
      </c>
      <c r="C5" s="8" t="n">
        <v>12000</v>
      </c>
    </row>
    <row r="6">
      <c r="A6" s="6" t="inlineStr">
        <is>
          <t>M-1001</t>
        </is>
      </c>
      <c r="B6" s="11" t="n">
        <v>46296</v>
      </c>
      <c r="C6" s="8" t="n">
        <v>15000</v>
      </c>
    </row>
    <row r="7">
      <c r="A7" s="6" t="inlineStr">
        <is>
          <t>M-1001</t>
        </is>
      </c>
      <c r="B7" s="11" t="n">
        <v>46327</v>
      </c>
      <c r="C7" s="8" t="n">
        <v>26000</v>
      </c>
    </row>
    <row r="8">
      <c r="A8" s="6" t="inlineStr">
        <is>
          <t>M-1002</t>
        </is>
      </c>
      <c r="B8" s="11" t="n">
        <v>46296</v>
      </c>
      <c r="C8" s="8" t="n">
        <v>13500</v>
      </c>
    </row>
    <row r="9">
      <c r="A9" s="6" t="inlineStr">
        <is>
          <t>M-1003</t>
        </is>
      </c>
      <c r="B9" s="11" t="n">
        <v>46266</v>
      </c>
      <c r="C9" s="8" t="n">
        <v>12000</v>
      </c>
    </row>
    <row r="10">
      <c r="A10" s="6" t="inlineStr">
        <is>
          <t>M-1003</t>
        </is>
      </c>
      <c r="B10" s="11" t="n">
        <v>46296</v>
      </c>
      <c r="C10" s="8" t="n">
        <v>11000</v>
      </c>
    </row>
    <row r="11">
      <c r="A11" s="6" t="n"/>
      <c r="B11" s="11" t="n"/>
      <c r="C11" s="8" t="n"/>
    </row>
    <row r="12">
      <c r="A12" s="6" t="n"/>
      <c r="B12" s="11" t="n"/>
      <c r="C12" s="8" t="n"/>
    </row>
    <row r="13">
      <c r="A13" s="6" t="n"/>
      <c r="B13" s="11" t="n"/>
      <c r="C13" s="8" t="n"/>
    </row>
    <row r="14">
      <c r="A14" s="6" t="n"/>
      <c r="B14" s="11" t="n"/>
      <c r="C14" s="8" t="n"/>
    </row>
    <row r="15">
      <c r="A15" s="6" t="n"/>
      <c r="B15" s="11" t="n"/>
      <c r="C15" s="8" t="n"/>
    </row>
    <row r="16">
      <c r="A16" s="6" t="n"/>
      <c r="B16" s="11" t="n"/>
      <c r="C16" s="8" t="n"/>
    </row>
    <row r="17">
      <c r="A17" s="6" t="n"/>
      <c r="B17" s="11" t="n"/>
      <c r="C17" s="8" t="n"/>
    </row>
    <row r="18">
      <c r="A18" s="6" t="n"/>
      <c r="B18" s="11" t="n"/>
      <c r="C18" s="8" t="n"/>
    </row>
    <row r="19">
      <c r="A19" s="6" t="n"/>
      <c r="B19" s="11" t="n"/>
      <c r="C19" s="8" t="n"/>
    </row>
    <row r="20">
      <c r="A20" s="6" t="n"/>
      <c r="B20" s="11" t="n"/>
      <c r="C20" s="8" t="n"/>
    </row>
    <row r="21">
      <c r="A21" s="6" t="n"/>
      <c r="B21" s="11" t="n"/>
      <c r="C21" s="8" t="n"/>
    </row>
    <row r="22">
      <c r="A22" s="6" t="n"/>
      <c r="B22" s="11" t="n"/>
      <c r="C22" s="8" t="n"/>
    </row>
    <row r="23">
      <c r="A23" s="6" t="n"/>
      <c r="B23" s="11" t="n"/>
      <c r="C23" s="8" t="n"/>
    </row>
    <row r="24">
      <c r="A24" s="6" t="n"/>
      <c r="B24" s="11" t="n"/>
      <c r="C24" s="8" t="n"/>
    </row>
    <row r="25">
      <c r="A25" s="6" t="n"/>
      <c r="B25" s="11" t="n"/>
      <c r="C25" s="8" t="n"/>
    </row>
    <row r="26">
      <c r="A26" s="6" t="n"/>
      <c r="B26" s="11" t="n"/>
      <c r="C26" s="8" t="n"/>
    </row>
    <row r="27">
      <c r="A27" s="6" t="n"/>
      <c r="B27" s="11" t="n"/>
      <c r="C27" s="8" t="n"/>
    </row>
    <row r="28">
      <c r="A28" s="6" t="n"/>
      <c r="B28" s="11" t="n"/>
      <c r="C28" s="8" t="n"/>
    </row>
  </sheetData>
  <dataValidations count="1">
    <dataValidation sqref="A5:A28" showDropDown="0" showInputMessage="0" showErrorMessage="0" allowBlank="1" type="list">
      <formula1>='Matters Register'!$A$5:$A$44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4" customWidth="1" min="4" max="4"/>
    <col width="3" customWidth="1" min="5" max="5"/>
    <col width="12" customWidth="1" min="6" max="6"/>
    <col width="20" customWidth="1" min="7" max="7"/>
    <col width="18" customWidth="1" min="8" max="8"/>
    <col width="11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6" customWidth="1" min="15" max="15"/>
  </cols>
  <sheetData>
    <row r="1">
      <c r="A1" s="1" t="inlineStr">
        <is>
          <t>Portfolio Dashboard</t>
        </is>
      </c>
    </row>
    <row r="2">
      <c r="A2" s="2" t="inlineStr">
        <is>
          <t>Financial year September 2026 – August 2027.</t>
        </is>
      </c>
    </row>
    <row r="4" ht="30" customHeight="1">
      <c r="A4" s="5" t="inlineStr">
        <is>
          <t>Month</t>
        </is>
      </c>
      <c r="B4" s="5" t="inlineStr">
        <is>
          <t>Forecast (£)</t>
        </is>
      </c>
      <c r="C4" s="5" t="inlineStr">
        <is>
          <t>Actual NFI (£)</t>
        </is>
      </c>
      <c r="D4" s="5" t="inlineStr">
        <is>
          <t>Variance (£)</t>
        </is>
      </c>
      <c r="F4" s="5" t="inlineStr">
        <is>
          <t>Matter Code</t>
        </is>
      </c>
      <c r="G4" s="5" t="inlineStr">
        <is>
          <t>Client</t>
        </is>
      </c>
      <c r="H4" s="5" t="inlineStr">
        <is>
          <t>Engagement Manager</t>
        </is>
      </c>
      <c r="I4" s="5" t="inlineStr">
        <is>
          <t>Total Fee (£)</t>
        </is>
      </c>
      <c r="J4" s="5" t="inlineStr">
        <is>
          <t>Forecast to Date (£)</t>
        </is>
      </c>
      <c r="K4" s="5" t="inlineStr">
        <is>
          <t>Actual to Date (£)</t>
        </is>
      </c>
      <c r="L4" s="5" t="inlineStr">
        <is>
          <t>Remaining Fee (£)</t>
        </is>
      </c>
      <c r="M4" s="5" t="inlineStr">
        <is>
          <t>% Recognised</t>
        </is>
      </c>
      <c r="N4" s="5" t="inlineStr">
        <is>
          <t>Open Var (#)</t>
        </is>
      </c>
      <c r="O4" s="5" t="inlineStr">
        <is>
          <t>Unallocated Fee (£)</t>
        </is>
      </c>
    </row>
    <row r="5">
      <c r="A5" s="22" t="n">
        <v>46266</v>
      </c>
      <c r="B5" s="17">
        <f>SUMIFS('Forecast Log'!$D$5:$D$64,'Forecast Log'!$B$5:$B$64,$A5)</f>
        <v>24000</v>
      </c>
      <c r="C5" s="17">
        <f>SUMIFS('Month-End Provisions'!$C$5:$C$1004,'Month-End Provisions'!$B$5:$B$1004,$A5)</f>
        <v>24000</v>
      </c>
      <c r="D5" s="17">
        <f>$C5-$B5</f>
        <v>0</v>
      </c>
      <c r="F5" s="23" t="str">
        <f>IF('Matters Register'!$A5="","",'Matters Register'!$A5)</f>
        <v>M-1001</v>
      </c>
      <c r="G5" s="18" t="str">
        <f>IF($F5="","",_xlfn._xlws.XLOOKUP($F5,'Matters Register'!$A$5:$A$44,'Matters Register'!$B$5:$B$44,""))</f>
        <v>Aurora Retail Group</v>
      </c>
      <c r="H5" s="18" t="str">
        <f>IF($F5="","",_xlfn._xlws.XLOOKUP($F5,'Matters Register'!$A$5:$A$44,'Matters Register'!$D$5:$D$44,""))</f>
        <v>Priya Shah</v>
      </c>
      <c r="I5" s="24">
        <f>IF($F5="","",_xlfn._xlws.XLOOKUP($F5,'Matters Register'!$A$5:$A$44,'Matters Register'!$E$5:$E$44,""))</f>
        <v>120000</v>
      </c>
      <c r="J5" s="17">
        <f>IF($F5="","",SUMIFS('Forecast Log'!$D$5:$D$64,'Forecast Log'!$A$5:$A$64,$F5))</f>
        <v>54000</v>
      </c>
      <c r="K5" s="17">
        <f>IF($F5="","",SUMIFS('Month-End Provisions'!$C$5:$C$1004,'Month-End Provisions'!$A$5:$A$1004,$F5))</f>
        <v>53000</v>
      </c>
      <c r="L5" s="17">
        <f>IF($F5="","",I5-K5)</f>
        <v>67000</v>
      </c>
      <c r="M5" s="25">
        <f>IF(OR($F5="",I5=0),"",K5/I5)</f>
        <v>0.44166666666666665</v>
      </c>
      <c r="N5" s="26">
        <f>IF($F5="","",COUNTIFS('Forecast Log'!$A$5:$A$64,$F5,'Forecast Log'!$P$5:$P$64,"YES"))</f>
        <v>2</v>
      </c>
      <c r="O5" s="17">
        <f>IF($F5="","",I5-J5)</f>
        <v>66000</v>
      </c>
    </row>
    <row r="6">
      <c r="A6" s="22" t="n">
        <v>46296</v>
      </c>
      <c r="B6" s="17">
        <f>SUMIFS('Forecast Log'!$D$5:$D$64,'Forecast Log'!$B$5:$B$64,$A6)</f>
        <v>43500</v>
      </c>
      <c r="C6" s="17">
        <f>SUMIFS('Month-End Provisions'!$C$5:$C$1004,'Month-End Provisions'!$B$5:$B$1004,$A6)</f>
        <v>39500</v>
      </c>
      <c r="D6" s="17">
        <f>$C6-$B6</f>
        <v>-4000</v>
      </c>
      <c r="F6" s="23" t="str">
        <f>IF('Matters Register'!$A6="","",'Matters Register'!$A6)</f>
        <v>M-1002</v>
      </c>
      <c r="G6" s="18" t="str">
        <f>IF($F6="","",_xlfn._xlws.XLOOKUP($F6,'Matters Register'!$A$5:$A$44,'Matters Register'!$B$5:$B$44,""))</f>
        <v>Northwind Energy</v>
      </c>
      <c r="H6" s="18" t="str">
        <f>IF($F6="","",_xlfn._xlws.XLOOKUP($F6,'Matters Register'!$A$5:$A$44,'Matters Register'!$D$5:$D$44,""))</f>
        <v>James Okoro</v>
      </c>
      <c r="I6" s="24">
        <f>IF($F6="","",_xlfn._xlws.XLOOKUP($F6,'Matters Register'!$A$5:$A$44,'Matters Register'!$E$5:$E$44,""))</f>
        <v>90000</v>
      </c>
      <c r="J6" s="17">
        <f>IF($F6="","",SUMIFS('Forecast Log'!$D$5:$D$64,'Forecast Log'!$A$5:$A$64,$F6))</f>
        <v>27000</v>
      </c>
      <c r="K6" s="17">
        <f>IF($F6="","",SUMIFS('Month-End Provisions'!$C$5:$C$1004,'Month-End Provisions'!$A$5:$A$1004,$F6))</f>
        <v>13500</v>
      </c>
      <c r="L6" s="17">
        <f>IF($F6="","",I6-K6)</f>
        <v>76500</v>
      </c>
      <c r="M6" s="25">
        <f>IF(OR($F6="",I6=0),"",K6/I6)</f>
        <v>0.15</v>
      </c>
      <c r="N6" s="26">
        <f>IF($F6="","",COUNTIFS('Forecast Log'!$A$5:$A$64,$F6,'Forecast Log'!$P$5:$P$64,"YES"))</f>
        <v>0</v>
      </c>
      <c r="O6" s="17">
        <f>IF($F6="","",I6-J6)</f>
        <v>63000</v>
      </c>
    </row>
    <row r="7">
      <c r="A7" s="22" t="n">
        <v>46327</v>
      </c>
      <c r="B7" s="17">
        <f>SUMIFS('Forecast Log'!$D$5:$D$64,'Forecast Log'!$B$5:$B$64,$A7)</f>
        <v>52500</v>
      </c>
      <c r="C7" s="17">
        <f>SUMIFS('Month-End Provisions'!$C$5:$C$1004,'Month-End Provisions'!$B$5:$B$1004,$A7)</f>
        <v>26000</v>
      </c>
      <c r="D7" s="17">
        <f>$C7-$B7</f>
        <v>-26500</v>
      </c>
      <c r="F7" s="23" t="str">
        <f>IF('Matters Register'!$A7="","",'Matters Register'!$A7)</f>
        <v>M-1003</v>
      </c>
      <c r="G7" s="18" t="str">
        <f>IF($F7="","",_xlfn._xlws.XLOOKUP($F7,'Matters Register'!$A$5:$A$44,'Matters Register'!$B$5:$B$44,""))</f>
        <v>Meridian Health</v>
      </c>
      <c r="H7" s="18" t="str">
        <f>IF($F7="","",_xlfn._xlws.XLOOKUP($F7,'Matters Register'!$A$5:$A$44,'Matters Register'!$D$5:$D$44,""))</f>
        <v>Priya Shah</v>
      </c>
      <c r="I7" s="24">
        <f>IF($F7="","",_xlfn._xlws.XLOOKUP($F7,'Matters Register'!$A$5:$A$44,'Matters Register'!$E$5:$E$44,""))</f>
        <v>60000</v>
      </c>
      <c r="J7" s="17">
        <f>IF($F7="","",SUMIFS('Forecast Log'!$D$5:$D$64,'Forecast Log'!$A$5:$A$64,$F7))</f>
        <v>39000</v>
      </c>
      <c r="K7" s="17">
        <f>IF($F7="","",SUMIFS('Month-End Provisions'!$C$5:$C$1004,'Month-End Provisions'!$A$5:$A$1004,$F7))</f>
        <v>23000</v>
      </c>
      <c r="L7" s="17">
        <f>IF($F7="","",I7-K7)</f>
        <v>37000</v>
      </c>
      <c r="M7" s="25">
        <f>IF(OR($F7="",I7=0),"",K7/I7)</f>
        <v>0.38333333333333336</v>
      </c>
      <c r="N7" s="26">
        <f>IF($F7="","",COUNTIFS('Forecast Log'!$A$5:$A$64,$F7,'Forecast Log'!$P$5:$P$64,"YES"))</f>
        <v>0</v>
      </c>
      <c r="O7" s="17">
        <f>IF($F7="","",I7-J7)</f>
        <v>21000</v>
      </c>
    </row>
    <row r="8">
      <c r="A8" s="22" t="n">
        <v>46357</v>
      </c>
      <c r="B8" s="17">
        <f>SUMIFS('Forecast Log'!$D$5:$D$64,'Forecast Log'!$B$5:$B$64,$A8)</f>
        <v>0</v>
      </c>
      <c r="C8" s="17">
        <f>SUMIFS('Month-End Provisions'!$C$5:$C$1004,'Month-End Provisions'!$B$5:$B$1004,$A8)</f>
        <v>0</v>
      </c>
      <c r="D8" s="17">
        <f>$C8-$B8</f>
        <v>0</v>
      </c>
      <c r="F8" s="23" t="str">
        <f>IF('Matters Register'!$A8="","",'Matters Register'!$A8)</f>
        <v/>
      </c>
      <c r="G8" s="18" t="str">
        <f>IF($F8="","",_xlfn._xlws.XLOOKUP($F8,'Matters Register'!$A$5:$A$44,'Matters Register'!$B$5:$B$44,""))</f>
        <v/>
      </c>
      <c r="H8" s="18" t="str">
        <f>IF($F8="","",_xlfn._xlws.XLOOKUP($F8,'Matters Register'!$A$5:$A$44,'Matters Register'!$D$5:$D$44,""))</f>
        <v/>
      </c>
      <c r="I8" s="24" t="str">
        <f>IF($F8="","",_xlfn._xlws.XLOOKUP($F8,'Matters Register'!$A$5:$A$44,'Matters Register'!$E$5:$E$44,""))</f>
        <v/>
      </c>
      <c r="J8" s="17" t="str">
        <f>IF($F8="","",SUMIFS('Forecast Log'!$D$5:$D$64,'Forecast Log'!$A$5:$A$64,$F8))</f>
        <v/>
      </c>
      <c r="K8" s="17" t="str">
        <f>IF($F8="","",SUMIFS('Month-End Provisions'!$C$5:$C$1004,'Month-End Provisions'!$A$5:$A$1004,$F8))</f>
        <v/>
      </c>
      <c r="L8" s="17" t="str">
        <f>IF($F8="","",I8-K8)</f>
        <v/>
      </c>
      <c r="M8" s="25" t="str">
        <f>IF(OR($F8="",I8=0),"",K8/I8)</f>
        <v/>
      </c>
      <c r="N8" s="26" t="str">
        <f>IF($F8="","",COUNTIFS('Forecast Log'!$A$5:$A$64,$F8,'Forecast Log'!$P$5:$P$64,"YES"))</f>
        <v/>
      </c>
      <c r="O8" s="17" t="str">
        <f>IF($F8="","",I8-J8)</f>
        <v/>
      </c>
    </row>
    <row r="9">
      <c r="A9" s="22" t="n">
        <v>46388</v>
      </c>
      <c r="B9" s="17">
        <f>SUMIFS('Forecast Log'!$D$5:$D$64,'Forecast Log'!$B$5:$B$64,$A9)</f>
        <v>0</v>
      </c>
      <c r="C9" s="17">
        <f>SUMIFS('Month-End Provisions'!$C$5:$C$1004,'Month-End Provisions'!$B$5:$B$1004,$A9)</f>
        <v>0</v>
      </c>
      <c r="D9" s="17">
        <f>$C9-$B9</f>
        <v>0</v>
      </c>
      <c r="F9" s="23" t="str">
        <f>IF('Matters Register'!$A9="","",'Matters Register'!$A9)</f>
        <v/>
      </c>
      <c r="G9" s="18" t="str">
        <f>IF($F9="","",_xlfn._xlws.XLOOKUP($F9,'Matters Register'!$A$5:$A$44,'Matters Register'!$B$5:$B$44,""))</f>
        <v/>
      </c>
      <c r="H9" s="18" t="str">
        <f>IF($F9="","",_xlfn._xlws.XLOOKUP($F9,'Matters Register'!$A$5:$A$44,'Matters Register'!$D$5:$D$44,""))</f>
        <v/>
      </c>
      <c r="I9" s="24" t="str">
        <f>IF($F9="","",_xlfn._xlws.XLOOKUP($F9,'Matters Register'!$A$5:$A$44,'Matters Register'!$E$5:$E$44,""))</f>
        <v/>
      </c>
      <c r="J9" s="17" t="str">
        <f>IF($F9="","",SUMIFS('Forecast Log'!$D$5:$D$64,'Forecast Log'!$A$5:$A$64,$F9))</f>
        <v/>
      </c>
      <c r="K9" s="17" t="str">
        <f>IF($F9="","",SUMIFS('Month-End Provisions'!$C$5:$C$1004,'Month-End Provisions'!$A$5:$A$1004,$F9))</f>
        <v/>
      </c>
      <c r="L9" s="17" t="str">
        <f>IF($F9="","",I9-K9)</f>
        <v/>
      </c>
      <c r="M9" s="25" t="str">
        <f>IF(OR($F9="",I9=0),"",K9/I9)</f>
        <v/>
      </c>
      <c r="N9" s="26" t="str">
        <f>IF($F9="","",COUNTIFS('Forecast Log'!$A$5:$A$64,$F9,'Forecast Log'!$P$5:$P$64,"YES"))</f>
        <v/>
      </c>
      <c r="O9" s="17" t="str">
        <f>IF($F9="","",I9-J9)</f>
        <v/>
      </c>
    </row>
    <row r="10">
      <c r="A10" s="22" t="n">
        <v>46419</v>
      </c>
      <c r="B10" s="17">
        <f>SUMIFS('Forecast Log'!$D$5:$D$64,'Forecast Log'!$B$5:$B$64,$A10)</f>
        <v>0</v>
      </c>
      <c r="C10" s="17">
        <f>SUMIFS('Month-End Provisions'!$C$5:$C$1004,'Month-End Provisions'!$B$5:$B$1004,$A10)</f>
        <v>0</v>
      </c>
      <c r="D10" s="17">
        <f>$C10-$B10</f>
        <v>0</v>
      </c>
      <c r="F10" s="23" t="str">
        <f>IF('Matters Register'!$A10="","",'Matters Register'!$A10)</f>
        <v/>
      </c>
      <c r="G10" s="18" t="str">
        <f>IF($F10="","",_xlfn._xlws.XLOOKUP($F10,'Matters Register'!$A$5:$A$44,'Matters Register'!$B$5:$B$44,""))</f>
        <v/>
      </c>
      <c r="H10" s="18" t="str">
        <f>IF($F10="","",_xlfn._xlws.XLOOKUP($F10,'Matters Register'!$A$5:$A$44,'Matters Register'!$D$5:$D$44,""))</f>
        <v/>
      </c>
      <c r="I10" s="24" t="str">
        <f>IF($F10="","",_xlfn._xlws.XLOOKUP($F10,'Matters Register'!$A$5:$A$44,'Matters Register'!$E$5:$E$44,""))</f>
        <v/>
      </c>
      <c r="J10" s="17" t="str">
        <f>IF($F10="","",SUMIFS('Forecast Log'!$D$5:$D$64,'Forecast Log'!$A$5:$A$64,$F10))</f>
        <v/>
      </c>
      <c r="K10" s="17" t="str">
        <f>IF($F10="","",SUMIFS('Month-End Provisions'!$C$5:$C$1004,'Month-End Provisions'!$A$5:$A$1004,$F10))</f>
        <v/>
      </c>
      <c r="L10" s="17" t="str">
        <f>IF($F10="","",I10-K10)</f>
        <v/>
      </c>
      <c r="M10" s="25" t="str">
        <f>IF(OR($F10="",I10=0),"",K10/I10)</f>
        <v/>
      </c>
      <c r="N10" s="26" t="str">
        <f>IF($F10="","",COUNTIFS('Forecast Log'!$A$5:$A$64,$F10,'Forecast Log'!$P$5:$P$64,"YES"))</f>
        <v/>
      </c>
      <c r="O10" s="17" t="str">
        <f>IF($F10="","",I10-J10)</f>
        <v/>
      </c>
    </row>
    <row r="11">
      <c r="A11" s="22" t="n">
        <v>46447</v>
      </c>
      <c r="B11" s="17">
        <f>SUMIFS('Forecast Log'!$D$5:$D$64,'Forecast Log'!$B$5:$B$64,$A11)</f>
        <v>0</v>
      </c>
      <c r="C11" s="17">
        <f>SUMIFS('Month-End Provisions'!$C$5:$C$1004,'Month-End Provisions'!$B$5:$B$1004,$A11)</f>
        <v>0</v>
      </c>
      <c r="D11" s="17">
        <f>$C11-$B11</f>
        <v>0</v>
      </c>
      <c r="F11" s="23" t="str">
        <f>IF('Matters Register'!$A11="","",'Matters Register'!$A11)</f>
        <v/>
      </c>
      <c r="G11" s="18" t="str">
        <f>IF($F11="","",_xlfn._xlws.XLOOKUP($F11,'Matters Register'!$A$5:$A$44,'Matters Register'!$B$5:$B$44,""))</f>
        <v/>
      </c>
      <c r="H11" s="18" t="str">
        <f>IF($F11="","",_xlfn._xlws.XLOOKUP($F11,'Matters Register'!$A$5:$A$44,'Matters Register'!$D$5:$D$44,""))</f>
        <v/>
      </c>
      <c r="I11" s="24" t="str">
        <f>IF($F11="","",_xlfn._xlws.XLOOKUP($F11,'Matters Register'!$A$5:$A$44,'Matters Register'!$E$5:$E$44,""))</f>
        <v/>
      </c>
      <c r="J11" s="17" t="str">
        <f>IF($F11="","",SUMIFS('Forecast Log'!$D$5:$D$64,'Forecast Log'!$A$5:$A$64,$F11))</f>
        <v/>
      </c>
      <c r="K11" s="17" t="str">
        <f>IF($F11="","",SUMIFS('Month-End Provisions'!$C$5:$C$1004,'Month-End Provisions'!$A$5:$A$1004,$F11))</f>
        <v/>
      </c>
      <c r="L11" s="17" t="str">
        <f>IF($F11="","",I11-K11)</f>
        <v/>
      </c>
      <c r="M11" s="25" t="str">
        <f>IF(OR($F11="",I11=0),"",K11/I11)</f>
        <v/>
      </c>
      <c r="N11" s="26" t="str">
        <f>IF($F11="","",COUNTIFS('Forecast Log'!$A$5:$A$64,$F11,'Forecast Log'!$P$5:$P$64,"YES"))</f>
        <v/>
      </c>
      <c r="O11" s="17" t="str">
        <f>IF($F11="","",I11-J11)</f>
        <v/>
      </c>
    </row>
    <row r="12">
      <c r="A12" s="22" t="n">
        <v>46478</v>
      </c>
      <c r="B12" s="17">
        <f>SUMIFS('Forecast Log'!$D$5:$D$64,'Forecast Log'!$B$5:$B$64,$A12)</f>
        <v>0</v>
      </c>
      <c r="C12" s="17">
        <f>SUMIFS('Month-End Provisions'!$C$5:$C$1004,'Month-End Provisions'!$B$5:$B$1004,$A12)</f>
        <v>0</v>
      </c>
      <c r="D12" s="17">
        <f>$C12-$B12</f>
        <v>0</v>
      </c>
      <c r="F12" s="23" t="str">
        <f>IF('Matters Register'!$A12="","",'Matters Register'!$A12)</f>
        <v/>
      </c>
      <c r="G12" s="18" t="str">
        <f>IF($F12="","",_xlfn._xlws.XLOOKUP($F12,'Matters Register'!$A$5:$A$44,'Matters Register'!$B$5:$B$44,""))</f>
        <v/>
      </c>
      <c r="H12" s="18" t="str">
        <f>IF($F12="","",_xlfn._xlws.XLOOKUP($F12,'Matters Register'!$A$5:$A$44,'Matters Register'!$D$5:$D$44,""))</f>
        <v/>
      </c>
      <c r="I12" s="24" t="str">
        <f>IF($F12="","",_xlfn._xlws.XLOOKUP($F12,'Matters Register'!$A$5:$A$44,'Matters Register'!$E$5:$E$44,""))</f>
        <v/>
      </c>
      <c r="J12" s="17" t="str">
        <f>IF($F12="","",SUMIFS('Forecast Log'!$D$5:$D$64,'Forecast Log'!$A$5:$A$64,$F12))</f>
        <v/>
      </c>
      <c r="K12" s="17" t="str">
        <f>IF($F12="","",SUMIFS('Month-End Provisions'!$C$5:$C$1004,'Month-End Provisions'!$A$5:$A$1004,$F12))</f>
        <v/>
      </c>
      <c r="L12" s="17" t="str">
        <f>IF($F12="","",I12-K12)</f>
        <v/>
      </c>
      <c r="M12" s="25" t="str">
        <f>IF(OR($F12="",I12=0),"",K12/I12)</f>
        <v/>
      </c>
      <c r="N12" s="26" t="str">
        <f>IF($F12="","",COUNTIFS('Forecast Log'!$A$5:$A$64,$F12,'Forecast Log'!$P$5:$P$64,"YES"))</f>
        <v/>
      </c>
      <c r="O12" s="17" t="str">
        <f>IF($F12="","",I12-J12)</f>
        <v/>
      </c>
    </row>
    <row r="13">
      <c r="A13" s="22" t="n">
        <v>46508</v>
      </c>
      <c r="B13" s="17">
        <f>SUMIFS('Forecast Log'!$D$5:$D$64,'Forecast Log'!$B$5:$B$64,$A13)</f>
        <v>0</v>
      </c>
      <c r="C13" s="17">
        <f>SUMIFS('Month-End Provisions'!$C$5:$C$1004,'Month-End Provisions'!$B$5:$B$1004,$A13)</f>
        <v>0</v>
      </c>
      <c r="D13" s="17">
        <f>$C13-$B13</f>
        <v>0</v>
      </c>
      <c r="F13" s="23" t="str">
        <f>IF('Matters Register'!$A13="","",'Matters Register'!$A13)</f>
        <v/>
      </c>
      <c r="G13" s="18" t="str">
        <f>IF($F13="","",_xlfn._xlws.XLOOKUP($F13,'Matters Register'!$A$5:$A$44,'Matters Register'!$B$5:$B$44,""))</f>
        <v/>
      </c>
      <c r="H13" s="18" t="str">
        <f>IF($F13="","",_xlfn._xlws.XLOOKUP($F13,'Matters Register'!$A$5:$A$44,'Matters Register'!$D$5:$D$44,""))</f>
        <v/>
      </c>
      <c r="I13" s="24" t="str">
        <f>IF($F13="","",_xlfn._xlws.XLOOKUP($F13,'Matters Register'!$A$5:$A$44,'Matters Register'!$E$5:$E$44,""))</f>
        <v/>
      </c>
      <c r="J13" s="17" t="str">
        <f>IF($F13="","",SUMIFS('Forecast Log'!$D$5:$D$64,'Forecast Log'!$A$5:$A$64,$F13))</f>
        <v/>
      </c>
      <c r="K13" s="17" t="str">
        <f>IF($F13="","",SUMIFS('Month-End Provisions'!$C$5:$C$1004,'Month-End Provisions'!$A$5:$A$1004,$F13))</f>
        <v/>
      </c>
      <c r="L13" s="17" t="str">
        <f>IF($F13="","",I13-K13)</f>
        <v/>
      </c>
      <c r="M13" s="25" t="str">
        <f>IF(OR($F13="",I13=0),"",K13/I13)</f>
        <v/>
      </c>
      <c r="N13" s="26" t="str">
        <f>IF($F13="","",COUNTIFS('Forecast Log'!$A$5:$A$64,$F13,'Forecast Log'!$P$5:$P$64,"YES"))</f>
        <v/>
      </c>
      <c r="O13" s="17" t="str">
        <f>IF($F13="","",I13-J13)</f>
        <v/>
      </c>
    </row>
    <row r="14">
      <c r="A14" s="22" t="n">
        <v>46539</v>
      </c>
      <c r="B14" s="17">
        <f>SUMIFS('Forecast Log'!$D$5:$D$64,'Forecast Log'!$B$5:$B$64,$A14)</f>
        <v>0</v>
      </c>
      <c r="C14" s="17">
        <f>SUMIFS('Month-End Provisions'!$C$5:$C$1004,'Month-End Provisions'!$B$5:$B$1004,$A14)</f>
        <v>0</v>
      </c>
      <c r="D14" s="17">
        <f>$C14-$B14</f>
        <v>0</v>
      </c>
      <c r="F14" s="23" t="str">
        <f>IF('Matters Register'!$A14="","",'Matters Register'!$A14)</f>
        <v/>
      </c>
      <c r="G14" s="18" t="str">
        <f>IF($F14="","",_xlfn._xlws.XLOOKUP($F14,'Matters Register'!$A$5:$A$44,'Matters Register'!$B$5:$B$44,""))</f>
        <v/>
      </c>
      <c r="H14" s="18" t="str">
        <f>IF($F14="","",_xlfn._xlws.XLOOKUP($F14,'Matters Register'!$A$5:$A$44,'Matters Register'!$D$5:$D$44,""))</f>
        <v/>
      </c>
      <c r="I14" s="24" t="str">
        <f>IF($F14="","",_xlfn._xlws.XLOOKUP($F14,'Matters Register'!$A$5:$A$44,'Matters Register'!$E$5:$E$44,""))</f>
        <v/>
      </c>
      <c r="J14" s="17" t="str">
        <f>IF($F14="","",SUMIFS('Forecast Log'!$D$5:$D$64,'Forecast Log'!$A$5:$A$64,$F14))</f>
        <v/>
      </c>
      <c r="K14" s="17" t="str">
        <f>IF($F14="","",SUMIFS('Month-End Provisions'!$C$5:$C$1004,'Month-End Provisions'!$A$5:$A$1004,$F14))</f>
        <v/>
      </c>
      <c r="L14" s="17" t="str">
        <f>IF($F14="","",I14-K14)</f>
        <v/>
      </c>
      <c r="M14" s="25" t="str">
        <f>IF(OR($F14="",I14=0),"",K14/I14)</f>
        <v/>
      </c>
      <c r="N14" s="26" t="str">
        <f>IF($F14="","",COUNTIFS('Forecast Log'!$A$5:$A$64,$F14,'Forecast Log'!$P$5:$P$64,"YES"))</f>
        <v/>
      </c>
      <c r="O14" s="17" t="str">
        <f>IF($F14="","",I14-J14)</f>
        <v/>
      </c>
    </row>
    <row r="15">
      <c r="A15" s="22" t="n">
        <v>46569</v>
      </c>
      <c r="B15" s="17">
        <f>SUMIFS('Forecast Log'!$D$5:$D$64,'Forecast Log'!$B$5:$B$64,$A15)</f>
        <v>0</v>
      </c>
      <c r="C15" s="17">
        <f>SUMIFS('Month-End Provisions'!$C$5:$C$1004,'Month-End Provisions'!$B$5:$B$1004,$A15)</f>
        <v>0</v>
      </c>
      <c r="D15" s="17">
        <f>$C15-$B15</f>
        <v>0</v>
      </c>
      <c r="F15" s="23" t="str">
        <f>IF('Matters Register'!$A15="","",'Matters Register'!$A15)</f>
        <v/>
      </c>
      <c r="G15" s="18" t="str">
        <f>IF($F15="","",_xlfn._xlws.XLOOKUP($F15,'Matters Register'!$A$5:$A$44,'Matters Register'!$B$5:$B$44,""))</f>
        <v/>
      </c>
      <c r="H15" s="18" t="str">
        <f>IF($F15="","",_xlfn._xlws.XLOOKUP($F15,'Matters Register'!$A$5:$A$44,'Matters Register'!$D$5:$D$44,""))</f>
        <v/>
      </c>
      <c r="I15" s="24" t="str">
        <f>IF($F15="","",_xlfn._xlws.XLOOKUP($F15,'Matters Register'!$A$5:$A$44,'Matters Register'!$E$5:$E$44,""))</f>
        <v/>
      </c>
      <c r="J15" s="17" t="str">
        <f>IF($F15="","",SUMIFS('Forecast Log'!$D$5:$D$64,'Forecast Log'!$A$5:$A$64,$F15))</f>
        <v/>
      </c>
      <c r="K15" s="17" t="str">
        <f>IF($F15="","",SUMIFS('Month-End Provisions'!$C$5:$C$1004,'Month-End Provisions'!$A$5:$A$1004,$F15))</f>
        <v/>
      </c>
      <c r="L15" s="17" t="str">
        <f>IF($F15="","",I15-K15)</f>
        <v/>
      </c>
      <c r="M15" s="25" t="str">
        <f>IF(OR($F15="",I15=0),"",K15/I15)</f>
        <v/>
      </c>
      <c r="N15" s="26" t="str">
        <f>IF($F15="","",COUNTIFS('Forecast Log'!$A$5:$A$64,$F15,'Forecast Log'!$P$5:$P$64,"YES"))</f>
        <v/>
      </c>
      <c r="O15" s="17" t="str">
        <f>IF($F15="","",I15-J15)</f>
        <v/>
      </c>
    </row>
    <row r="16">
      <c r="A16" s="22" t="n">
        <v>46600</v>
      </c>
      <c r="B16" s="17">
        <f>SUMIFS('Forecast Log'!$D$5:$D$64,'Forecast Log'!$B$5:$B$64,$A16)</f>
        <v>0</v>
      </c>
      <c r="C16" s="17">
        <f>SUMIFS('Month-End Provisions'!$C$5:$C$1004,'Month-End Provisions'!$B$5:$B$1004,$A16)</f>
        <v>0</v>
      </c>
      <c r="D16" s="17">
        <f>$C16-$B16</f>
        <v>0</v>
      </c>
      <c r="F16" s="23" t="str">
        <f>IF('Matters Register'!$A16="","",'Matters Register'!$A16)</f>
        <v/>
      </c>
      <c r="G16" s="18" t="str">
        <f>IF($F16="","",_xlfn._xlws.XLOOKUP($F16,'Matters Register'!$A$5:$A$44,'Matters Register'!$B$5:$B$44,""))</f>
        <v/>
      </c>
      <c r="H16" s="18" t="str">
        <f>IF($F16="","",_xlfn._xlws.XLOOKUP($F16,'Matters Register'!$A$5:$A$44,'Matters Register'!$D$5:$D$44,""))</f>
        <v/>
      </c>
      <c r="I16" s="24" t="str">
        <f>IF($F16="","",_xlfn._xlws.XLOOKUP($F16,'Matters Register'!$A$5:$A$44,'Matters Register'!$E$5:$E$44,""))</f>
        <v/>
      </c>
      <c r="J16" s="17" t="str">
        <f>IF($F16="","",SUMIFS('Forecast Log'!$D$5:$D$64,'Forecast Log'!$A$5:$A$64,$F16))</f>
        <v/>
      </c>
      <c r="K16" s="17" t="str">
        <f>IF($F16="","",SUMIFS('Month-End Provisions'!$C$5:$C$1004,'Month-End Provisions'!$A$5:$A$1004,$F16))</f>
        <v/>
      </c>
      <c r="L16" s="17" t="str">
        <f>IF($F16="","",I16-K16)</f>
        <v/>
      </c>
      <c r="M16" s="25" t="str">
        <f>IF(OR($F16="",I16=0),"",K16/I16)</f>
        <v/>
      </c>
      <c r="N16" s="26" t="str">
        <f>IF($F16="","",COUNTIFS('Forecast Log'!$A$5:$A$64,$F16,'Forecast Log'!$P$5:$P$64,"YES"))</f>
        <v/>
      </c>
      <c r="O16" s="17" t="str">
        <f>IF($F16="","",I16-J16)</f>
        <v/>
      </c>
    </row>
    <row r="17">
      <c r="A17" s="27" t="inlineStr">
        <is>
          <t>Total</t>
        </is>
      </c>
      <c r="B17" s="28">
        <f>SUM(B5:B16)</f>
        <v>120000</v>
      </c>
      <c r="C17" s="28">
        <f>SUM(C5:C16)</f>
        <v>89500</v>
      </c>
      <c r="D17" s="28">
        <f>SUM(D5:D16)</f>
        <v>-30500</v>
      </c>
      <c r="F17" s="23" t="str">
        <f>IF('Matters Register'!$A17="","",'Matters Register'!$A17)</f>
        <v/>
      </c>
      <c r="G17" s="18" t="str">
        <f>IF($F17="","",_xlfn._xlws.XLOOKUP($F17,'Matters Register'!$A$5:$A$44,'Matters Register'!$B$5:$B$44,""))</f>
        <v/>
      </c>
      <c r="H17" s="18" t="str">
        <f>IF($F17="","",_xlfn._xlws.XLOOKUP($F17,'Matters Register'!$A$5:$A$44,'Matters Register'!$D$5:$D$44,""))</f>
        <v/>
      </c>
      <c r="I17" s="24" t="str">
        <f>IF($F17="","",_xlfn._xlws.XLOOKUP($F17,'Matters Register'!$A$5:$A$44,'Matters Register'!$E$5:$E$44,""))</f>
        <v/>
      </c>
      <c r="J17" s="17" t="str">
        <f>IF($F17="","",SUMIFS('Forecast Log'!$D$5:$D$64,'Forecast Log'!$A$5:$A$64,$F17))</f>
        <v/>
      </c>
      <c r="K17" s="17" t="str">
        <f>IF($F17="","",SUMIFS('Month-End Provisions'!$C$5:$C$1004,'Month-End Provisions'!$A$5:$A$1004,$F17))</f>
        <v/>
      </c>
      <c r="L17" s="17" t="str">
        <f>IF($F17="","",I17-K17)</f>
        <v/>
      </c>
      <c r="M17" s="25" t="str">
        <f>IF(OR($F17="",I17=0),"",K17/I17)</f>
        <v/>
      </c>
      <c r="N17" s="26" t="str">
        <f>IF($F17="","",COUNTIFS('Forecast Log'!$A$5:$A$64,$F17,'Forecast Log'!$P$5:$P$64,"YES"))</f>
        <v/>
      </c>
      <c r="O17" s="17" t="str">
        <f>IF($F17="","",I17-J17)</f>
        <v/>
      </c>
    </row>
    <row r="18">
      <c r="F18" s="23" t="str">
        <f>IF('Matters Register'!$A18="","",'Matters Register'!$A18)</f>
        <v/>
      </c>
      <c r="G18" s="18" t="str">
        <f>IF($F18="","",_xlfn._xlws.XLOOKUP($F18,'Matters Register'!$A$5:$A$44,'Matters Register'!$B$5:$B$44,""))</f>
        <v/>
      </c>
      <c r="H18" s="18" t="str">
        <f>IF($F18="","",_xlfn._xlws.XLOOKUP($F18,'Matters Register'!$A$5:$A$44,'Matters Register'!$D$5:$D$44,""))</f>
        <v/>
      </c>
      <c r="I18" s="24" t="str">
        <f>IF($F18="","",_xlfn._xlws.XLOOKUP($F18,'Matters Register'!$A$5:$A$44,'Matters Register'!$E$5:$E$44,""))</f>
        <v/>
      </c>
      <c r="J18" s="17" t="str">
        <f>IF($F18="","",SUMIFS('Forecast Log'!$D$5:$D$64,'Forecast Log'!$A$5:$A$64,$F18))</f>
        <v/>
      </c>
      <c r="K18" s="17" t="str">
        <f>IF($F18="","",SUMIFS('Month-End Provisions'!$C$5:$C$1004,'Month-End Provisions'!$A$5:$A$1004,$F18))</f>
        <v/>
      </c>
      <c r="L18" s="17" t="str">
        <f>IF($F18="","",I18-K18)</f>
        <v/>
      </c>
      <c r="M18" s="25" t="str">
        <f>IF(OR($F18="",I18=0),"",K18/I18)</f>
        <v/>
      </c>
      <c r="N18" s="26" t="str">
        <f>IF($F18="","",COUNTIFS('Forecast Log'!$A$5:$A$64,$F18,'Forecast Log'!$P$5:$P$64,"YES"))</f>
        <v/>
      </c>
      <c r="O18" s="17" t="str">
        <f>IF($F18="","",I18-J18)</f>
        <v/>
      </c>
    </row>
    <row r="19">
      <c r="A19" s="29" t="inlineStr">
        <is>
          <t>Open Variances — flagged but not yet reforecast</t>
        </is>
      </c>
      <c r="F19" s="23" t="str">
        <f>IF('Matters Register'!$A19="","",'Matters Register'!$A19)</f>
        <v/>
      </c>
      <c r="G19" s="18" t="str">
        <f>IF($F19="","",_xlfn._xlws.XLOOKUP($F19,'Matters Register'!$A$5:$A$44,'Matters Register'!$B$5:$B$44,""))</f>
        <v/>
      </c>
      <c r="H19" s="18" t="str">
        <f>IF($F19="","",_xlfn._xlws.XLOOKUP($F19,'Matters Register'!$A$5:$A$44,'Matters Register'!$D$5:$D$44,""))</f>
        <v/>
      </c>
      <c r="I19" s="24" t="str">
        <f>IF($F19="","",_xlfn._xlws.XLOOKUP($F19,'Matters Register'!$A$5:$A$44,'Matters Register'!$E$5:$E$44,""))</f>
        <v/>
      </c>
      <c r="J19" s="17" t="str">
        <f>IF($F19="","",SUMIFS('Forecast Log'!$D$5:$D$64,'Forecast Log'!$A$5:$A$64,$F19))</f>
        <v/>
      </c>
      <c r="K19" s="17" t="str">
        <f>IF($F19="","",SUMIFS('Month-End Provisions'!$C$5:$C$1004,'Month-End Provisions'!$A$5:$A$1004,$F19))</f>
        <v/>
      </c>
      <c r="L19" s="17" t="str">
        <f>IF($F19="","",I19-K19)</f>
        <v/>
      </c>
      <c r="M19" s="25" t="str">
        <f>IF(OR($F19="",I19=0),"",K19/I19)</f>
        <v/>
      </c>
      <c r="N19" s="26" t="str">
        <f>IF($F19="","",COUNTIFS('Forecast Log'!$A$5:$A$64,$F19,'Forecast Log'!$P$5:$P$64,"YES"))</f>
        <v/>
      </c>
      <c r="O19" s="17" t="str">
        <f>IF($F19="","",I19-J19)</f>
        <v/>
      </c>
    </row>
    <row r="20">
      <c r="A20" s="30" t="inlineStr">
        <is>
          <t>Open items (#)</t>
        </is>
      </c>
      <c r="B20" s="31">
        <f>COUNTIF('Forecast Log'!$P$5:$P$64,"YES")</f>
        <v>2</v>
      </c>
      <c r="F20" s="23" t="str">
        <f>IF('Matters Register'!$A20="","",'Matters Register'!$A20)</f>
        <v/>
      </c>
      <c r="G20" s="18" t="str">
        <f>IF($F20="","",_xlfn._xlws.XLOOKUP($F20,'Matters Register'!$A$5:$A$44,'Matters Register'!$B$5:$B$44,""))</f>
        <v/>
      </c>
      <c r="H20" s="18" t="str">
        <f>IF($F20="","",_xlfn._xlws.XLOOKUP($F20,'Matters Register'!$A$5:$A$44,'Matters Register'!$D$5:$D$44,""))</f>
        <v/>
      </c>
      <c r="I20" s="24" t="str">
        <f>IF($F20="","",_xlfn._xlws.XLOOKUP($F20,'Matters Register'!$A$5:$A$44,'Matters Register'!$E$5:$E$44,""))</f>
        <v/>
      </c>
      <c r="J20" s="17" t="str">
        <f>IF($F20="","",SUMIFS('Forecast Log'!$D$5:$D$64,'Forecast Log'!$A$5:$A$64,$F20))</f>
        <v/>
      </c>
      <c r="K20" s="17" t="str">
        <f>IF($F20="","",SUMIFS('Month-End Provisions'!$C$5:$C$1004,'Month-End Provisions'!$A$5:$A$1004,$F20))</f>
        <v/>
      </c>
      <c r="L20" s="17" t="str">
        <f>IF($F20="","",I20-K20)</f>
        <v/>
      </c>
      <c r="M20" s="25" t="str">
        <f>IF(OR($F20="",I20=0),"",K20/I20)</f>
        <v/>
      </c>
      <c r="N20" s="26" t="str">
        <f>IF($F20="","",COUNTIFS('Forecast Log'!$A$5:$A$64,$F20,'Forecast Log'!$P$5:$P$64,"YES"))</f>
        <v/>
      </c>
      <c r="O20" s="17" t="str">
        <f>IF($F20="","",I20-J20)</f>
        <v/>
      </c>
    </row>
    <row r="21">
      <c r="A21" s="30" t="inlineStr">
        <is>
          <t>Open value (£, net)</t>
        </is>
      </c>
      <c r="B21" s="32">
        <f>SUMIFS('Forecast Log'!$H$5:$H$64,'Forecast Log'!$P$5:$P$64,"YES")</f>
        <v>-1000</v>
      </c>
      <c r="F21" s="23" t="str">
        <f>IF('Matters Register'!$A21="","",'Matters Register'!$A21)</f>
        <v/>
      </c>
      <c r="G21" s="18" t="str">
        <f>IF($F21="","",_xlfn._xlws.XLOOKUP($F21,'Matters Register'!$A$5:$A$44,'Matters Register'!$B$5:$B$44,""))</f>
        <v/>
      </c>
      <c r="H21" s="18" t="str">
        <f>IF($F21="","",_xlfn._xlws.XLOOKUP($F21,'Matters Register'!$A$5:$A$44,'Matters Register'!$D$5:$D$44,""))</f>
        <v/>
      </c>
      <c r="I21" s="24" t="str">
        <f>IF($F21="","",_xlfn._xlws.XLOOKUP($F21,'Matters Register'!$A$5:$A$44,'Matters Register'!$E$5:$E$44,""))</f>
        <v/>
      </c>
      <c r="J21" s="17" t="str">
        <f>IF($F21="","",SUMIFS('Forecast Log'!$D$5:$D$64,'Forecast Log'!$A$5:$A$64,$F21))</f>
        <v/>
      </c>
      <c r="K21" s="17" t="str">
        <f>IF($F21="","",SUMIFS('Month-End Provisions'!$C$5:$C$1004,'Month-End Provisions'!$A$5:$A$1004,$F21))</f>
        <v/>
      </c>
      <c r="L21" s="17" t="str">
        <f>IF($F21="","",I21-K21)</f>
        <v/>
      </c>
      <c r="M21" s="25" t="str">
        <f>IF(OR($F21="",I21=0),"",K21/I21)</f>
        <v/>
      </c>
      <c r="N21" s="26" t="str">
        <f>IF($F21="","",COUNTIFS('Forecast Log'!$A$5:$A$64,$F21,'Forecast Log'!$P$5:$P$64,"YES"))</f>
        <v/>
      </c>
      <c r="O21" s="17" t="str">
        <f>IF($F21="","",I21-J21)</f>
        <v/>
      </c>
    </row>
    <row r="22">
      <c r="A22" s="30" t="inlineStr">
        <is>
          <t>Oldest open month</t>
        </is>
      </c>
      <c r="B22" s="33">
        <f>IF(COUNTIF('Forecast Log'!$P$5:$P$64,"YES")=0,"",_xlfn.MINIFS('Forecast Log'!$B$5:$B$64,'Forecast Log'!$P$5:$P$64,"YES"))</f>
        <v>46296</v>
      </c>
      <c r="F22" s="23" t="str">
        <f>IF('Matters Register'!$A22="","",'Matters Register'!$A22)</f>
        <v/>
      </c>
      <c r="G22" s="18" t="str">
        <f>IF($F22="","",_xlfn._xlws.XLOOKUP($F22,'Matters Register'!$A$5:$A$44,'Matters Register'!$B$5:$B$44,""))</f>
        <v/>
      </c>
      <c r="H22" s="18" t="str">
        <f>IF($F22="","",_xlfn._xlws.XLOOKUP($F22,'Matters Register'!$A$5:$A$44,'Matters Register'!$D$5:$D$44,""))</f>
        <v/>
      </c>
      <c r="I22" s="24" t="str">
        <f>IF($F22="","",_xlfn._xlws.XLOOKUP($F22,'Matters Register'!$A$5:$A$44,'Matters Register'!$E$5:$E$44,""))</f>
        <v/>
      </c>
      <c r="J22" s="17" t="str">
        <f>IF($F22="","",SUMIFS('Forecast Log'!$D$5:$D$64,'Forecast Log'!$A$5:$A$64,$F22))</f>
        <v/>
      </c>
      <c r="K22" s="17" t="str">
        <f>IF($F22="","",SUMIFS('Month-End Provisions'!$C$5:$C$1004,'Month-End Provisions'!$A$5:$A$1004,$F22))</f>
        <v/>
      </c>
      <c r="L22" s="17" t="str">
        <f>IF($F22="","",I22-K22)</f>
        <v/>
      </c>
      <c r="M22" s="25" t="str">
        <f>IF(OR($F22="",I22=0),"",K22/I22)</f>
        <v/>
      </c>
      <c r="N22" s="26" t="str">
        <f>IF($F22="","",COUNTIFS('Forecast Log'!$A$5:$A$64,$F22,'Forecast Log'!$P$5:$P$64,"YES"))</f>
        <v/>
      </c>
      <c r="O22" s="17" t="str">
        <f>IF($F22="","",I22-J22)</f>
        <v/>
      </c>
    </row>
    <row r="23">
      <c r="F23" s="23" t="str">
        <f>IF('Matters Register'!$A23="","",'Matters Register'!$A23)</f>
        <v/>
      </c>
      <c r="G23" s="18" t="str">
        <f>IF($F23="","",_xlfn._xlws.XLOOKUP($F23,'Matters Register'!$A$5:$A$44,'Matters Register'!$B$5:$B$44,""))</f>
        <v/>
      </c>
      <c r="H23" s="18" t="str">
        <f>IF($F23="","",_xlfn._xlws.XLOOKUP($F23,'Matters Register'!$A$5:$A$44,'Matters Register'!$D$5:$D$44,""))</f>
        <v/>
      </c>
      <c r="I23" s="24" t="str">
        <f>IF($F23="","",_xlfn._xlws.XLOOKUP($F23,'Matters Register'!$A$5:$A$44,'Matters Register'!$E$5:$E$44,""))</f>
        <v/>
      </c>
      <c r="J23" s="17" t="str">
        <f>IF($F23="","",SUMIFS('Forecast Log'!$D$5:$D$64,'Forecast Log'!$A$5:$A$64,$F23))</f>
        <v/>
      </c>
      <c r="K23" s="17" t="str">
        <f>IF($F23="","",SUMIFS('Month-End Provisions'!$C$5:$C$1004,'Month-End Provisions'!$A$5:$A$1004,$F23))</f>
        <v/>
      </c>
      <c r="L23" s="17" t="str">
        <f>IF($F23="","",I23-K23)</f>
        <v/>
      </c>
      <c r="M23" s="25" t="str">
        <f>IF(OR($F23="",I23=0),"",K23/I23)</f>
        <v/>
      </c>
      <c r="N23" s="26" t="str">
        <f>IF($F23="","",COUNTIFS('Forecast Log'!$A$5:$A$64,$F23,'Forecast Log'!$P$5:$P$64,"YES"))</f>
        <v/>
      </c>
      <c r="O23" s="17" t="str">
        <f>IF($F23="","",I23-J23)</f>
        <v/>
      </c>
    </row>
    <row r="24">
      <c r="F24" s="23" t="str">
        <f>IF('Matters Register'!$A24="","",'Matters Register'!$A24)</f>
        <v/>
      </c>
      <c r="G24" s="18" t="str">
        <f>IF($F24="","",_xlfn._xlws.XLOOKUP($F24,'Matters Register'!$A$5:$A$44,'Matters Register'!$B$5:$B$44,""))</f>
        <v/>
      </c>
      <c r="H24" s="18" t="str">
        <f>IF($F24="","",_xlfn._xlws.XLOOKUP($F24,'Matters Register'!$A$5:$A$44,'Matters Register'!$D$5:$D$44,""))</f>
        <v/>
      </c>
      <c r="I24" s="24" t="str">
        <f>IF($F24="","",_xlfn._xlws.XLOOKUP($F24,'Matters Register'!$A$5:$A$44,'Matters Register'!$E$5:$E$44,""))</f>
        <v/>
      </c>
      <c r="J24" s="17" t="str">
        <f>IF($F24="","",SUMIFS('Forecast Log'!$D$5:$D$64,'Forecast Log'!$A$5:$A$64,$F24))</f>
        <v/>
      </c>
      <c r="K24" s="17" t="str">
        <f>IF($F24="","",SUMIFS('Month-End Provisions'!$C$5:$C$1004,'Month-End Provisions'!$A$5:$A$1004,$F24))</f>
        <v/>
      </c>
      <c r="L24" s="17" t="str">
        <f>IF($F24="","",I24-K24)</f>
        <v/>
      </c>
      <c r="M24" s="25" t="str">
        <f>IF(OR($F24="",I24=0),"",K24/I24)</f>
        <v/>
      </c>
      <c r="N24" s="26" t="str">
        <f>IF($F24="","",COUNTIFS('Forecast Log'!$A$5:$A$64,$F24,'Forecast Log'!$P$5:$P$64,"YES"))</f>
        <v/>
      </c>
      <c r="O24" s="17" t="str">
        <f>IF($F24="","",I24-J24)</f>
        <v/>
      </c>
    </row>
    <row r="26">
      <c r="F26" s="2" t="inlineStr">
        <is>
          <t>By Engagement Manager (add/remove names as needed)</t>
        </is>
      </c>
    </row>
    <row r="27">
      <c r="F27" s="5" t="inlineStr">
        <is>
          <t>Engagement Manager</t>
        </is>
      </c>
      <c r="G27" s="5" t="inlineStr">
        <is>
          <t>Forecast to Date (£)</t>
        </is>
      </c>
      <c r="H27" s="5" t="inlineStr">
        <is>
          <t>Actual to Date (£)</t>
        </is>
      </c>
      <c r="I27" s="5" t="inlineStr">
        <is>
          <t>Open (#)</t>
        </is>
      </c>
    </row>
    <row r="28">
      <c r="F28" s="7" t="inlineStr">
        <is>
          <t>Priya Shah</t>
        </is>
      </c>
      <c r="G28" s="17">
        <f>SUMIF($H$5:$H$24,$F28,$J$5:$J$24)</f>
        <v>93000</v>
      </c>
      <c r="H28" s="17">
        <f>SUMIF($H$5:$H$24,$F28,$K$5:$K$24)</f>
        <v>76000</v>
      </c>
      <c r="I28" s="26">
        <f>COUNTIFS('Forecast Log'!$K$5:$K$64,$F28,'Forecast Log'!$P$5:$P$64,"YES")</f>
        <v>2</v>
      </c>
    </row>
    <row r="29">
      <c r="F29" s="7" t="inlineStr">
        <is>
          <t>James Okoro</t>
        </is>
      </c>
      <c r="G29" s="17">
        <f>SUMIF($H$5:$H$24,$F29,$J$5:$J$24)</f>
        <v>27000</v>
      </c>
      <c r="H29" s="17">
        <f>SUMIF($H$5:$H$24,$F29,$K$5:$K$24)</f>
        <v>13500</v>
      </c>
      <c r="I29" s="26">
        <f>COUNTIFS('Forecast Log'!$K$5:$K$64,$F29,'Forecast Log'!$P$5:$P$64,"YES")</f>
        <v>0</v>
      </c>
    </row>
  </sheetData>
  <conditionalFormatting sqref="D5:D1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N5:N24">
    <cfRule type="cellIs" priority="3" operator="greaterThan" dxfId="0">
      <formula>0</formula>
    </cfRule>
  </conditionalFormatting>
  <conditionalFormatting sqref="O5:O24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I28:I29">
    <cfRule type="cellIs" priority="6" operator="greaterThan" dxfId="0">
      <formula>0</formula>
    </cfRule>
  </conditionalFormatting>
  <conditionalFormatting sqref="B20">
    <cfRule type="cellIs" priority="7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2026-08-06T20:51:42Z</dcterms:created>
  <dcterms:modified xsi:type="dcterms:W3CDTF">2026-08-06T20:51:42Z</dcterms:modified>
</cp:coreProperties>
</file>