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Matters Register" sheetId="2" state="visible" r:id="rId2"/>
    <sheet name="Forecast Log" sheetId="3" state="visible" r:id="rId3"/>
    <sheet name="Month-End Provisions" sheetId="4" state="visible" r:id="rId4"/>
    <sheet name="Dashboard" sheetId="5" state="visible" r:id="rId5"/>
  </sheets>
  <definedNames>
    <definedName name="_xlnm._FilterDatabase" localSheetId="2" hidden="1">'Forecast Log'!$A$4:$Q$64</definedName>
  </definedNames>
  <calcPr calcId="124519" fullCalcOnLoad="1"/>
</workbook>
</file>

<file path=xl/styles.xml><?xml version="1.0" encoding="utf-8"?>
<styleSheet xmlns="http://schemas.openxmlformats.org/spreadsheetml/2006/main">
  <numFmts count="6">
    <numFmt numFmtId="164" formatCode="£#,##0"/>
    <numFmt numFmtId="165" formatCode="yyyy-mm-dd"/>
    <numFmt numFmtId="166" formatCode="DD-MMM-YYYY"/>
    <numFmt numFmtId="167" formatCode="MMM-YYYY"/>
    <numFmt numFmtId="168" formatCode="£#,##0;(£#,##0);-"/>
    <numFmt numFmtId="169" formatCode="0.0%"/>
  </numFmts>
  <fonts count="10">
    <font>
      <name val="Calibri"/>
      <family val="2"/>
      <color theme="1"/>
      <sz val="11"/>
      <scheme val="minor"/>
    </font>
    <font>
      <name val="Arial"/>
      <b val="1"/>
      <color rgb="001F3864"/>
      <sz val="16"/>
    </font>
    <font>
      <name val="Arial"/>
      <i val="1"/>
      <color rgb="00595959"/>
      <sz val="10"/>
    </font>
    <font>
      <name val="Arial"/>
      <b val="1"/>
      <color rgb="001F3864"/>
      <sz val="12"/>
    </font>
    <font>
      <name val="Arial"/>
      <color rgb="00000000"/>
      <sz val="10"/>
    </font>
    <font>
      <name val="Arial"/>
      <b val="1"/>
      <color rgb="00FFFFFF"/>
      <sz val="10"/>
    </font>
    <font>
      <name val="Arial"/>
      <color rgb="000000FF"/>
      <sz val="10"/>
    </font>
    <font>
      <name val="Arial"/>
      <color rgb="00008000"/>
      <sz val="10"/>
    </font>
    <font>
      <name val="Arial"/>
      <b val="1"/>
      <color rgb="00000000"/>
      <sz val="10"/>
    </font>
    <font>
      <name val="Arial"/>
      <b val="1"/>
      <color rgb="001F3864"/>
      <sz val="11"/>
    </font>
  </fonts>
  <fills count="6">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2" borderId="1" applyAlignment="1" pivotButton="0" quotePrefix="0" xfId="0">
      <alignment horizontal="center" vertical="center"/>
    </xf>
    <xf numFmtId="0" fontId="6" fillId="3" borderId="1" applyAlignment="1" pivotButton="0" quotePrefix="0" xfId="0">
      <alignment horizontal="center" vertical="center"/>
    </xf>
    <xf numFmtId="0" fontId="6" fillId="3" borderId="1" pivotButton="0" quotePrefix="0" xfId="0"/>
    <xf numFmtId="164" fontId="6" fillId="3" borderId="1" pivotButton="0" quotePrefix="0" xfId="0"/>
    <xf numFmtId="166" fontId="6" fillId="3" borderId="1" applyAlignment="1" pivotButton="0" quotePrefix="0" xfId="0">
      <alignment horizontal="center" vertical="center"/>
    </xf>
    <xf numFmtId="0" fontId="5" fillId="2" borderId="1" applyAlignment="1" pivotButton="0" quotePrefix="0" xfId="0">
      <alignment horizontal="center" vertical="center" wrapText="1"/>
    </xf>
    <xf numFmtId="167" fontId="6" fillId="3" borderId="1" applyAlignment="1" pivotButton="0" quotePrefix="0" xfId="0">
      <alignment horizontal="center" vertical="center"/>
    </xf>
    <xf numFmtId="164" fontId="7" fillId="0" borderId="1" pivotButton="0" quotePrefix="0" xfId="0"/>
    <xf numFmtId="164" fontId="6" fillId="3" borderId="1" applyAlignment="1" pivotButton="0" quotePrefix="0" xfId="0">
      <alignment horizontal="center" vertical="center"/>
    </xf>
    <xf numFmtId="168" fontId="4" fillId="4" borderId="1" pivotButton="0" quotePrefix="0" xfId="0"/>
    <xf numFmtId="169" fontId="4" fillId="4" borderId="1" applyAlignment="1" pivotButton="0" quotePrefix="0" xfId="0">
      <alignment horizontal="center" vertical="center"/>
    </xf>
    <xf numFmtId="168" fontId="7" fillId="4" borderId="1" pivotButton="0" quotePrefix="0" xfId="0"/>
    <xf numFmtId="168" fontId="4" fillId="0" borderId="1" pivotButton="0" quotePrefix="0" xfId="0"/>
    <xf numFmtId="0" fontId="7" fillId="0" borderId="1" pivotButton="0" quotePrefix="0" xfId="0"/>
    <xf numFmtId="0" fontId="4" fillId="4" borderId="1" applyAlignment="1" pivotButton="0" quotePrefix="0" xfId="0">
      <alignment horizontal="center" vertical="center"/>
    </xf>
    <xf numFmtId="0" fontId="8" fillId="4" borderId="1" applyAlignment="1" pivotButton="0" quotePrefix="0" xfId="0">
      <alignment horizontal="center" vertical="center"/>
    </xf>
    <xf numFmtId="0" fontId="4" fillId="4" borderId="1" pivotButton="0" quotePrefix="0" xfId="0"/>
    <xf numFmtId="167" fontId="4" fillId="0" borderId="1" applyAlignment="1" pivotButton="0" quotePrefix="0" xfId="0">
      <alignment horizontal="center" vertical="center"/>
    </xf>
    <xf numFmtId="0" fontId="7" fillId="0" borderId="1" applyAlignment="1" pivotButton="0" quotePrefix="0" xfId="0">
      <alignment horizontal="center" vertical="center"/>
    </xf>
    <xf numFmtId="168" fontId="7" fillId="0" borderId="1" pivotButton="0" quotePrefix="0" xfId="0"/>
    <xf numFmtId="169" fontId="4" fillId="0" borderId="1" applyAlignment="1" pivotButton="0" quotePrefix="0" xfId="0">
      <alignment horizontal="center" vertical="center"/>
    </xf>
    <xf numFmtId="0" fontId="4" fillId="0" borderId="1" applyAlignment="1" pivotButton="0" quotePrefix="0" xfId="0">
      <alignment horizontal="center" vertical="center"/>
    </xf>
    <xf numFmtId="0" fontId="8" fillId="5" borderId="1" pivotButton="0" quotePrefix="0" xfId="0"/>
    <xf numFmtId="168" fontId="8" fillId="5" borderId="1" pivotButton="0" quotePrefix="0" xfId="0"/>
    <xf numFmtId="0" fontId="9" fillId="0" borderId="0" pivotButton="0" quotePrefix="0" xfId="0"/>
    <xf numFmtId="0" fontId="4" fillId="0" borderId="1" pivotButton="0" quotePrefix="0" xfId="0"/>
    <xf numFmtId="0" fontId="8" fillId="0" borderId="1" applyAlignment="1" pivotButton="0" quotePrefix="0" xfId="0">
      <alignment horizontal="center" vertical="center"/>
    </xf>
    <xf numFmtId="168" fontId="8" fillId="0" borderId="1" applyAlignment="1" pivotButton="0" quotePrefix="0" xfId="0">
      <alignment horizontal="center" vertical="center"/>
    </xf>
    <xf numFmtId="167" fontId="8" fillId="0" borderId="1" applyAlignment="1" pivotButton="0" quotePrefix="0" xfId="0">
      <alignment horizontal="center" vertical="center"/>
    </xf>
  </cellXfs>
  <cellStyles count="1">
    <cellStyle name="Normal" xfId="0" builtinId="0" hidden="0"/>
  </cellStyles>
  <dxfs count="2">
    <dxf>
      <font>
        <name val="Arial"/>
        <color rgb="00843C0C"/>
        <sz val="10"/>
      </font>
      <fill>
        <patternFill patternType="solid">
          <fgColor rgb="00F8CBAD"/>
        </patternFill>
      </fill>
    </dxf>
    <dxf>
      <font>
        <name val="Arial"/>
        <color rgb="00806000"/>
        <sz val="10"/>
      </font>
      <fill>
        <patternFill patternType="solid">
          <f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Forecast vs Actual NFI by Month (FY Sep 2026 – Aug 2027)</a:t>
            </a:r>
          </a:p>
        </rich>
      </tx>
    </title>
    <plotArea>
      <barChart>
        <barDir val="col"/>
        <grouping val="clustered"/>
        <ser>
          <idx val="0"/>
          <order val="0"/>
          <tx>
            <strRef>
              <f>'Dashboard'!B4</f>
            </strRef>
          </tx>
          <spPr>
            <a:ln>
              <a:prstDash val="solid"/>
            </a:ln>
          </spPr>
          <cat>
            <numRef>
              <f>'Dashboard'!$A$5:$A$16</f>
            </numRef>
          </cat>
          <val>
            <numRef>
              <f>'Dashboard'!$B$5:$B$16</f>
            </numRef>
          </val>
        </ser>
        <ser>
          <idx val="1"/>
          <order val="1"/>
          <tx>
            <strRef>
              <f>'Dashboard'!C4</f>
            </strRef>
          </tx>
          <spPr>
            <a:ln>
              <a:prstDash val="solid"/>
            </a:ln>
          </spPr>
          <cat>
            <numRef>
              <f>'Dashboard'!$A$5:$A$16</f>
            </numRef>
          </cat>
          <val>
            <numRef>
              <f>'Dashboard'!$C$5:$C$16</f>
            </numRef>
          </val>
        </ser>
        <gapWidth val="150"/>
        <axId val="10"/>
        <axId val="100"/>
      </bar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23</row>
      <rowOff>0</rowOff>
    </from>
    <ext cx="720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Matters" displayName="tblMatters" ref="A4:H24" headerRowCount="1">
  <autoFilter ref="A4:H24"/>
  <tableColumns count="8">
    <tableColumn id="1" name="Matter Code"/>
    <tableColumn id="2" name="Client"/>
    <tableColumn id="3" name="Engagement Name"/>
    <tableColumn id="4" name="Engagement Manager"/>
    <tableColumn id="5" name="Total Fee (£)"/>
    <tableColumn id="6" name="Start Date"/>
    <tableColumn id="7" name="Expected End Date"/>
    <tableColumn id="8" name="Status"/>
  </tableColumns>
  <tableStyleInfo name="TableStyleLight9" showRowStripes="0"/>
</table>
</file>

<file path=xl/tables/table2.xml><?xml version="1.0" encoding="utf-8"?>
<table xmlns="http://schemas.openxmlformats.org/spreadsheetml/2006/main" id="2" name="tblProvisions" displayName="tblProvisions" ref="A4:C28" headerRowCount="1">
  <autoFilter ref="A4:C28"/>
  <tableColumns count="3">
    <tableColumn id="1" name="Matter Code"/>
    <tableColumn id="2" name="Month"/>
    <tableColumn id="3" name="NFI Amount (£)"/>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3" customWidth="1" min="1" max="1"/>
    <col width="110" customWidth="1" min="2" max="2"/>
  </cols>
  <sheetData>
    <row r="1">
      <c r="A1" s="1" t="inlineStr">
        <is>
          <t>Consultancy Income Forecast</t>
        </is>
      </c>
    </row>
    <row r="2">
      <c r="A2" s="2" t="inlineStr">
        <is>
          <t>Direct £ forecast per month · GBP (£) · Financial year September–August · XLOOKUP formulas</t>
        </is>
      </c>
    </row>
    <row r="4">
      <c r="B4" s="3" t="inlineStr">
        <is>
          <t>How this workbook works</t>
        </is>
      </c>
    </row>
    <row r="5" ht="60" customHeight="1">
      <c r="B5" s="4" t="inlineStr">
        <is>
          <t>Every engagement is confirmed work with a Matter Code and an agreed fixed fee. Each month the engagement manager (EM) enters the £ amount of fee to recognise; the workbook tracks it against the fee. Actual net fee income (NFI) is pulled automatically from the Month-End Provisions tab and compared against the forecast, and any variance is flagged.</t>
        </is>
      </c>
    </row>
    <row r="6">
      <c r="B6" s="3" t="inlineStr">
        <is>
          <t>The five tabs</t>
        </is>
      </c>
    </row>
    <row r="7" ht="30" customHeight="1">
      <c r="B7" s="4" t="inlineStr">
        <is>
          <t>1.  Matters Register — master list of engagements (Matter Code, client, EM, total fixed fee, dates, status). Add a row here first for every new confirmed engagement.</t>
        </is>
      </c>
    </row>
    <row r="8" ht="60" customHeight="1">
      <c r="B8" s="4" t="inlineStr">
        <is>
          <t>2.  Forecast Log — the working record, one row per engagement per month. You enter the Matter Code, the Month, and the forecast £ amount to recognise that month. Everything else calculates. This is the permanent, append-only history — never overwrite a past month's row; add a new row for the new month.</t>
        </is>
      </c>
    </row>
    <row r="9" ht="30" customHeight="1">
      <c r="B9" s="4" t="inlineStr">
        <is>
          <t>3.  Month-End Provisions — paste your monthly NFI provisions extract here (Matter Code, Month, NFI Amount). The Forecast Log reads actuals from this tab by matching Matter Code + Month.</t>
        </is>
      </c>
    </row>
    <row r="10" ht="30" customHeight="1">
      <c r="B10" s="4" t="inlineStr">
        <is>
          <t>4.  Dashboard — portfolio roll-up by month, by engagement and by EM, with a forecast-vs-actual chart and an Open Variances tracker.</t>
        </is>
      </c>
    </row>
    <row r="11" ht="15" customHeight="1">
      <c r="B11" s="4" t="inlineStr">
        <is>
          <t>5.  Instructions — this page.</t>
        </is>
      </c>
    </row>
    <row r="12">
      <c r="B12" s="3" t="inlineStr">
        <is>
          <t>Monthly routine</t>
        </is>
      </c>
    </row>
    <row r="13" ht="15" customHeight="1">
      <c r="B13" s="4" t="inlineStr">
        <is>
          <t>a.  Paste the latest NFI provisions into Month-End Provisions.</t>
        </is>
      </c>
    </row>
    <row r="14" ht="30" customHeight="1">
      <c r="B14" s="4" t="inlineStr">
        <is>
          <t>b.  In the Forecast Log, add one new row per active engagement for the new month and enter the forecast £ amount.</t>
        </is>
      </c>
    </row>
    <row r="15" ht="30" customHeight="1">
      <c r="B15" s="4" t="inlineStr">
        <is>
          <t>c.  Review the Variance column: red = actual came in UNDER your forecast; amber = actual came in OVER your forecast.</t>
        </is>
      </c>
    </row>
    <row r="16" ht="45" customHeight="1">
      <c r="B16" s="4" t="inlineStr">
        <is>
          <t>d.  Re-allocate next month: enter next month's forecast £ so the remaining fee (see Remaining Fee) is re-spread across the remaining months. The workbook flags the variance; the EM decides how to re-spread it.</t>
        </is>
      </c>
    </row>
    <row r="17" ht="30" customHeight="1">
      <c r="B17" s="4" t="inlineStr">
        <is>
          <t>e.  Record the reforecast on the FLAGGED month's row: set Variance Status (Reforecast / Accepted), plus Reforecast By and Reforecast Date. This is the audit trail.</t>
        </is>
      </c>
    </row>
    <row r="18">
      <c r="B18" s="3" t="inlineStr">
        <is>
          <t>Tracking reforecasts</t>
        </is>
      </c>
    </row>
    <row r="19" ht="75" customHeight="1">
      <c r="B19" s="4" t="inlineStr">
        <is>
          <t>The Forecast Log's right-hand columns show whether each flagged variance has been actioned: Reforecast Entered? auto-detects whether a later month's row exists; Outstanding? shows YES (red) for any variance not yet signed off; Action Note says what's needed. Use the header AutoFilter to filter Outstanding? = YES or by Engagement Manager. The Dashboard's Open Variances panel counts outstanding items overall and per EM.</t>
        </is>
      </c>
    </row>
    <row r="20">
      <c r="B20" s="3" t="inlineStr">
        <is>
          <t>Colour key</t>
        </is>
      </c>
    </row>
    <row r="21" ht="45" customHeight="1">
      <c r="B21" s="4" t="inlineStr">
        <is>
          <t>Blue text on pale-yellow fill = cells you fill in.   Black = calculated, do not edit.   Green = pulled from another tab.   Red / amber fills = under / over variance and outstanding-reforecast flags.</t>
        </is>
      </c>
    </row>
    <row r="22">
      <c r="B22" s="3" t="inlineStr">
        <is>
          <t>Notes</t>
        </is>
      </c>
    </row>
    <row r="23" ht="90" customHeight="1">
      <c r="B23" s="4" t="inlineStr">
        <is>
          <t>· Forecast and all amounts are GBP.   · The Dashboard's Unallocated Fee (£) = fee not yet covered by actuals or by forecast on months still open. Months that already have an actual are counted at their actual, so the original forecast row stays untouched and re-spreading a variance across future months reconciles back to zero: amber = fee still to spread, red = over-forecast, blank = fully forecast.   · Dates are the first of the month (shown as Sep-2026).   · Demo engagements M-1001/1002/1003 are examples — delete them once you add your 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showGridLines="0" workbookViewId="0">
      <selection activeCell="A1" sqref="A1"/>
    </sheetView>
  </sheetViews>
  <sheetFormatPr baseColWidth="8" defaultRowHeight="15"/>
  <cols>
    <col width="12" customWidth="1" min="1" max="1"/>
    <col width="22" customWidth="1" min="2" max="2"/>
    <col width="26" customWidth="1" min="3" max="3"/>
    <col width="22" customWidth="1" min="4" max="4"/>
    <col width="14" customWidth="1" min="5" max="5"/>
    <col width="14" customWidth="1" min="6" max="6"/>
    <col width="16" customWidth="1" min="7" max="7"/>
    <col width="12" customWidth="1" min="8" max="8"/>
  </cols>
  <sheetData>
    <row r="1">
      <c r="A1" s="1" t="inlineStr">
        <is>
          <t>Matters Register</t>
        </is>
      </c>
    </row>
    <row r="2">
      <c r="A2" s="2" t="inlineStr">
        <is>
          <t>One row per confirmed engagement. Blue cells are inputs.</t>
        </is>
      </c>
    </row>
    <row r="4">
      <c r="A4" s="5" t="inlineStr">
        <is>
          <t>Matter Code</t>
        </is>
      </c>
      <c r="B4" s="5" t="inlineStr">
        <is>
          <t>Client</t>
        </is>
      </c>
      <c r="C4" s="5" t="inlineStr">
        <is>
          <t>Engagement Name</t>
        </is>
      </c>
      <c r="D4" s="5" t="inlineStr">
        <is>
          <t>Engagement Manager</t>
        </is>
      </c>
      <c r="E4" s="5" t="inlineStr">
        <is>
          <t>Total Fee (£)</t>
        </is>
      </c>
      <c r="F4" s="5" t="inlineStr">
        <is>
          <t>Start Date</t>
        </is>
      </c>
      <c r="G4" s="5" t="inlineStr">
        <is>
          <t>Expected End Date</t>
        </is>
      </c>
      <c r="H4" s="5" t="inlineStr">
        <is>
          <t>Status</t>
        </is>
      </c>
    </row>
    <row r="5">
      <c r="A5" s="6" t="inlineStr">
        <is>
          <t>M-1001</t>
        </is>
      </c>
      <c r="B5" s="7" t="inlineStr">
        <is>
          <t>Aurora Retail Group</t>
        </is>
      </c>
      <c r="C5" s="7" t="inlineStr">
        <is>
          <t>Supply Chain Diagnostic</t>
        </is>
      </c>
      <c r="D5" s="7" t="inlineStr">
        <is>
          <t>Priya Shah</t>
        </is>
      </c>
      <c r="E5" s="8" t="n">
        <v>120000</v>
      </c>
      <c r="F5" s="9" t="n">
        <v>46266</v>
      </c>
      <c r="G5" s="9" t="n">
        <v>46446</v>
      </c>
      <c r="H5" s="7" t="inlineStr">
        <is>
          <t>Active</t>
        </is>
      </c>
    </row>
    <row r="6">
      <c r="A6" s="6" t="inlineStr">
        <is>
          <t>M-1002</t>
        </is>
      </c>
      <c r="B6" s="7" t="inlineStr">
        <is>
          <t>Northwind Energy</t>
        </is>
      </c>
      <c r="C6" s="7" t="inlineStr">
        <is>
          <t>Cost Transformation</t>
        </is>
      </c>
      <c r="D6" s="7" t="inlineStr">
        <is>
          <t>James Okoro</t>
        </is>
      </c>
      <c r="E6" s="8" t="n">
        <v>90000</v>
      </c>
      <c r="F6" s="9" t="n">
        <v>46296</v>
      </c>
      <c r="G6" s="9" t="n">
        <v>46477</v>
      </c>
      <c r="H6" s="7" t="inlineStr">
        <is>
          <t>Active</t>
        </is>
      </c>
    </row>
    <row r="7">
      <c r="A7" s="6" t="inlineStr">
        <is>
          <t>M-1003</t>
        </is>
      </c>
      <c r="B7" s="7" t="inlineStr">
        <is>
          <t>Meridian Health</t>
        </is>
      </c>
      <c r="C7" s="7" t="inlineStr">
        <is>
          <t>Operating Model Review</t>
        </is>
      </c>
      <c r="D7" s="7" t="inlineStr">
        <is>
          <t>Priya Shah</t>
        </is>
      </c>
      <c r="E7" s="8" t="n">
        <v>60000</v>
      </c>
      <c r="F7" s="9" t="n">
        <v>46266</v>
      </c>
      <c r="G7" s="9" t="n">
        <v>46387</v>
      </c>
      <c r="H7" s="7" t="inlineStr">
        <is>
          <t>Active</t>
        </is>
      </c>
    </row>
    <row r="8">
      <c r="A8" s="6" t="n"/>
      <c r="B8" s="7" t="n"/>
      <c r="C8" s="7" t="n"/>
      <c r="D8" s="7" t="n"/>
      <c r="E8" s="8" t="n"/>
      <c r="F8" s="9" t="n"/>
      <c r="G8" s="9" t="n"/>
      <c r="H8" s="7" t="n"/>
    </row>
    <row r="9">
      <c r="A9" s="6" t="n"/>
      <c r="B9" s="7" t="n"/>
      <c r="C9" s="7" t="n"/>
      <c r="D9" s="7" t="n"/>
      <c r="E9" s="8" t="n"/>
      <c r="F9" s="9" t="n"/>
      <c r="G9" s="9" t="n"/>
      <c r="H9" s="7" t="n"/>
    </row>
    <row r="10">
      <c r="A10" s="6" t="n"/>
      <c r="B10" s="7" t="n"/>
      <c r="C10" s="7" t="n"/>
      <c r="D10" s="7" t="n"/>
      <c r="E10" s="8" t="n"/>
      <c r="F10" s="9" t="n"/>
      <c r="G10" s="9" t="n"/>
      <c r="H10" s="7" t="n"/>
    </row>
    <row r="11">
      <c r="A11" s="6" t="n"/>
      <c r="B11" s="7" t="n"/>
      <c r="C11" s="7" t="n"/>
      <c r="D11" s="7" t="n"/>
      <c r="E11" s="8" t="n"/>
      <c r="F11" s="9" t="n"/>
      <c r="G11" s="9" t="n"/>
      <c r="H11" s="7" t="n"/>
    </row>
    <row r="12">
      <c r="A12" s="6" t="n"/>
      <c r="B12" s="7" t="n"/>
      <c r="C12" s="7" t="n"/>
      <c r="D12" s="7" t="n"/>
      <c r="E12" s="8" t="n"/>
      <c r="F12" s="9" t="n"/>
      <c r="G12" s="9" t="n"/>
      <c r="H12" s="7" t="n"/>
    </row>
    <row r="13">
      <c r="A13" s="6" t="n"/>
      <c r="B13" s="7" t="n"/>
      <c r="C13" s="7" t="n"/>
      <c r="D13" s="7" t="n"/>
      <c r="E13" s="8" t="n"/>
      <c r="F13" s="9" t="n"/>
      <c r="G13" s="9" t="n"/>
      <c r="H13" s="7" t="n"/>
    </row>
    <row r="14">
      <c r="A14" s="6" t="n"/>
      <c r="B14" s="7" t="n"/>
      <c r="C14" s="7" t="n"/>
      <c r="D14" s="7" t="n"/>
      <c r="E14" s="8" t="n"/>
      <c r="F14" s="9" t="n"/>
      <c r="G14" s="9" t="n"/>
      <c r="H14" s="7" t="n"/>
    </row>
    <row r="15">
      <c r="A15" s="6" t="n"/>
      <c r="B15" s="7" t="n"/>
      <c r="C15" s="7" t="n"/>
      <c r="D15" s="7" t="n"/>
      <c r="E15" s="8" t="n"/>
      <c r="F15" s="9" t="n"/>
      <c r="G15" s="9" t="n"/>
      <c r="H15" s="7" t="n"/>
    </row>
    <row r="16">
      <c r="A16" s="6" t="n"/>
      <c r="B16" s="7" t="n"/>
      <c r="C16" s="7" t="n"/>
      <c r="D16" s="7" t="n"/>
      <c r="E16" s="8" t="n"/>
      <c r="F16" s="9" t="n"/>
      <c r="G16" s="9" t="n"/>
      <c r="H16" s="7" t="n"/>
    </row>
    <row r="17">
      <c r="A17" s="6" t="n"/>
      <c r="B17" s="7" t="n"/>
      <c r="C17" s="7" t="n"/>
      <c r="D17" s="7" t="n"/>
      <c r="E17" s="8" t="n"/>
      <c r="F17" s="9" t="n"/>
      <c r="G17" s="9" t="n"/>
      <c r="H17" s="7" t="n"/>
    </row>
    <row r="18">
      <c r="A18" s="6" t="n"/>
      <c r="B18" s="7" t="n"/>
      <c r="C18" s="7" t="n"/>
      <c r="D18" s="7" t="n"/>
      <c r="E18" s="8" t="n"/>
      <c r="F18" s="9" t="n"/>
      <c r="G18" s="9" t="n"/>
      <c r="H18" s="7" t="n"/>
    </row>
    <row r="19">
      <c r="A19" s="6" t="n"/>
      <c r="B19" s="7" t="n"/>
      <c r="C19" s="7" t="n"/>
      <c r="D19" s="7" t="n"/>
      <c r="E19" s="8" t="n"/>
      <c r="F19" s="9" t="n"/>
      <c r="G19" s="9" t="n"/>
      <c r="H19" s="7" t="n"/>
    </row>
    <row r="20">
      <c r="A20" s="6" t="n"/>
      <c r="B20" s="7" t="n"/>
      <c r="C20" s="7" t="n"/>
      <c r="D20" s="7" t="n"/>
      <c r="E20" s="8" t="n"/>
      <c r="F20" s="9" t="n"/>
      <c r="G20" s="9" t="n"/>
      <c r="H20" s="7" t="n"/>
    </row>
    <row r="21">
      <c r="A21" s="6" t="n"/>
      <c r="B21" s="7" t="n"/>
      <c r="C21" s="7" t="n"/>
      <c r="D21" s="7" t="n"/>
      <c r="E21" s="8" t="n"/>
      <c r="F21" s="9" t="n"/>
      <c r="G21" s="9" t="n"/>
      <c r="H21" s="7" t="n"/>
    </row>
    <row r="22">
      <c r="A22" s="6" t="n"/>
      <c r="B22" s="7" t="n"/>
      <c r="C22" s="7" t="n"/>
      <c r="D22" s="7" t="n"/>
      <c r="E22" s="8" t="n"/>
      <c r="F22" s="9" t="n"/>
      <c r="G22" s="9" t="n"/>
      <c r="H22" s="7" t="n"/>
    </row>
    <row r="23">
      <c r="A23" s="6" t="n"/>
      <c r="B23" s="7" t="n"/>
      <c r="C23" s="7" t="n"/>
      <c r="D23" s="7" t="n"/>
      <c r="E23" s="8" t="n"/>
      <c r="F23" s="9" t="n"/>
      <c r="G23" s="9" t="n"/>
      <c r="H23" s="7" t="n"/>
    </row>
    <row r="24">
      <c r="A24" s="6" t="n"/>
      <c r="B24" s="7" t="n"/>
      <c r="C24" s="7" t="n"/>
      <c r="D24" s="7" t="n"/>
      <c r="E24" s="8" t="n"/>
      <c r="F24" s="9" t="n"/>
      <c r="G24" s="9" t="n"/>
      <c r="H24" s="7" t="n"/>
    </row>
  </sheetData>
  <dataValidations count="1">
    <dataValidation sqref="H5:H24" showDropDown="0" showInputMessage="0" showErrorMessage="0" allowBlank="1" type="list">
      <formula1>"Active,Complete,On hold"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6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3" customWidth="1" min="3" max="3"/>
    <col width="14" customWidth="1" min="4" max="4"/>
    <col width="16" customWidth="1" min="5" max="5"/>
    <col width="18" customWidth="1" min="6" max="6"/>
    <col width="16" customWidth="1" min="7" max="7"/>
    <col width="12" customWidth="1" min="8" max="8"/>
    <col width="16" customWidth="1" min="9" max="9"/>
    <col width="14" customWidth="1" min="10" max="10"/>
    <col width="18" customWidth="1" min="11" max="11"/>
    <col width="13" customWidth="1" min="12" max="12"/>
    <col width="12" customWidth="1" min="13" max="13"/>
    <col width="14" customWidth="1" min="14" max="14"/>
    <col width="15" customWidth="1" min="15" max="15"/>
    <col width="12" customWidth="1" min="16" max="16"/>
    <col width="32" customWidth="1" min="17" max="17"/>
  </cols>
  <sheetData>
    <row r="1">
      <c r="A1" s="1" t="inlineStr">
        <is>
          <t>Forecast Log — permanent monthly record</t>
        </is>
      </c>
    </row>
    <row r="2">
      <c r="A2" s="2" t="inlineStr">
        <is>
          <t>Append one row per engagement per month. Enter Matter Code, Month and Forecast This Month (£) (blue). Everything else calculates.</t>
        </is>
      </c>
    </row>
    <row r="4" ht="42" customHeight="1">
      <c r="A4" s="10" t="inlineStr">
        <is>
          <t>Matter Code</t>
        </is>
      </c>
      <c r="B4" s="10" t="inlineStr">
        <is>
          <t>Month</t>
        </is>
      </c>
      <c r="C4" s="10" t="inlineStr">
        <is>
          <t>Total Fee (£)</t>
        </is>
      </c>
      <c r="D4" s="10" t="inlineStr">
        <is>
          <t>Forecast This Month (£)</t>
        </is>
      </c>
      <c r="E4" s="10" t="inlineStr">
        <is>
          <t>Forecast Cum to Date (£)</t>
        </is>
      </c>
      <c r="F4" s="10" t="inlineStr">
        <is>
          <t>% Complete to Date</t>
        </is>
      </c>
      <c r="G4" s="10" t="inlineStr">
        <is>
          <t>Actual NFI This Month (£)</t>
        </is>
      </c>
      <c r="H4" s="10" t="inlineStr">
        <is>
          <t>Variance (£)</t>
        </is>
      </c>
      <c r="I4" s="10" t="inlineStr">
        <is>
          <t>Cumulative Actual to Date (£)</t>
        </is>
      </c>
      <c r="J4" s="10" t="inlineStr">
        <is>
          <t>Remaining Fee (£)</t>
        </is>
      </c>
      <c r="K4" s="10" t="inlineStr">
        <is>
          <t>Engagement Manager</t>
        </is>
      </c>
      <c r="L4" s="10" t="inlineStr">
        <is>
          <t>Variance Status</t>
        </is>
      </c>
      <c r="M4" s="10" t="inlineStr">
        <is>
          <t>Reforecast By</t>
        </is>
      </c>
      <c r="N4" s="10" t="inlineStr">
        <is>
          <t>Reforecast Date</t>
        </is>
      </c>
      <c r="O4" s="10" t="inlineStr">
        <is>
          <t>Reforecast Entered?</t>
        </is>
      </c>
      <c r="P4" s="10" t="inlineStr">
        <is>
          <t>Outstanding?</t>
        </is>
      </c>
      <c r="Q4" s="10" t="inlineStr">
        <is>
          <t>Action Note</t>
        </is>
      </c>
    </row>
    <row r="5">
      <c r="A5" s="6" t="inlineStr">
        <is>
          <t>M-1001</t>
        </is>
      </c>
      <c r="B5" s="11" t="n">
        <v>46266</v>
      </c>
      <c r="C5" s="12">
        <f>IF($A5="","",_xlfn._xlws.XLOOKUP($A5,'Matters Register'!$A$5:$A$44,'Matters Register'!$E$5:$E$44,"?"))</f>
        <v>120000</v>
      </c>
      <c r="D5" s="13" t="n">
        <v>12000</v>
      </c>
      <c r="E5" s="14">
        <f>IF($A5="","",SUMIFS($D$5:$D$64,$A$5:$A$64,$A5,$B$5:$B$64,"&lt;="&amp;$B5))</f>
        <v>12000</v>
      </c>
      <c r="F5" s="15">
        <f>IF(OR($A5="",$C5=0,$C5="?"),"",$E5/$C5)</f>
        <v>0.1</v>
      </c>
      <c r="G5" s="16">
        <f>IF($A5="","",IF(COUNTIFS('Month-End Provisions'!$A$5:$A$1004,$A5,'Month-End Provisions'!$B$5:$B$1004,$B5)=0,"",SUMIFS('Month-End Provisions'!$C$5:$C$1004,'Month-End Provisions'!$A$5:$A$1004,$A5,'Month-End Provisions'!$B$5:$B$1004,$B5)))</f>
        <v>12000</v>
      </c>
      <c r="H5" s="17">
        <f>IF(OR($G5="",$D5=""),"",$G5-$D5)</f>
        <v>0</v>
      </c>
      <c r="I5" s="16">
        <f>IF($A5="","",SUMIFS('Month-End Provisions'!$C$5:$C$1004,'Month-End Provisions'!$A$5:$A$1004,$A5,'Month-End Provisions'!$B$5:$B$1004,"&lt;="&amp;$B5))</f>
        <v>12000</v>
      </c>
      <c r="J5" s="14">
        <f>IF(OR($A5="",$C5="?"),"",$C5-$I5)</f>
        <v>108000</v>
      </c>
      <c r="K5" s="18" t="str">
        <f>IF($A5="","",_xlfn._xlws.XLOOKUP($A5,'Matters Register'!$A$5:$A$44,'Matters Register'!$D$5:$D$44,""))</f>
        <v>Priya Shah</v>
      </c>
      <c r="L5" s="6" t="n"/>
      <c r="M5" s="6" t="n"/>
      <c r="N5" s="9" t="n"/>
      <c r="O5" s="19" t="str">
        <f>IF(OR($H5="",$H5=0),"",IF(COUNTIFS($A$5:$A$64,$A5,$B$5:$B$64,"&gt;"&amp;$B5)&gt;0,"Yes","No"))</f>
        <v/>
      </c>
      <c r="P5" s="20" t="str">
        <f>IF(AND($H5&lt;&gt;"",$H5&lt;&gt;0,NOT(OR($L5="Reforecast",$L5="Accepted"))),"YES","")</f>
        <v/>
      </c>
      <c r="Q5" s="21" t="str">
        <f>IF(OR($H5="",$H5=0),"",IF(OR($L5="Reforecast",$L5="Accepted"),"Signed off: "&amp;$L5,IF($O5="Yes","Reforecast entered — confirm sign-off","Awaiting reforecast")))</f>
        <v/>
      </c>
    </row>
    <row r="6">
      <c r="A6" s="6" t="inlineStr">
        <is>
          <t>M-1001</t>
        </is>
      </c>
      <c r="B6" s="11" t="n">
        <v>46296</v>
      </c>
      <c r="C6" s="12">
        <f>IF($A6="","",_xlfn._xlws.XLOOKUP($A6,'Matters Register'!$A$5:$A$44,'Matters Register'!$E$5:$E$44,"?"))</f>
        <v>120000</v>
      </c>
      <c r="D6" s="13" t="n">
        <v>18000</v>
      </c>
      <c r="E6" s="14">
        <f>IF($A6="","",SUMIFS($D$5:$D$64,$A$5:$A$64,$A6,$B$5:$B$64,"&lt;="&amp;$B6))</f>
        <v>30000</v>
      </c>
      <c r="F6" s="15">
        <f>IF(OR($A6="",$C6=0,$C6="?"),"",$E6/$C6)</f>
        <v>0.25</v>
      </c>
      <c r="G6" s="16">
        <f>IF($A6="","",IF(COUNTIFS('Month-End Provisions'!$A$5:$A$1004,$A6,'Month-End Provisions'!$B$5:$B$1004,$B6)=0,"",SUMIFS('Month-End Provisions'!$C$5:$C$1004,'Month-End Provisions'!$A$5:$A$1004,$A6,'Month-End Provisions'!$B$5:$B$1004,$B6)))</f>
        <v>15000</v>
      </c>
      <c r="H6" s="17">
        <f>IF(OR($G6="",$D6=""),"",$G6-$D6)</f>
        <v>-3000</v>
      </c>
      <c r="I6" s="16">
        <f>IF($A6="","",SUMIFS('Month-End Provisions'!$C$5:$C$1004,'Month-End Provisions'!$A$5:$A$1004,$A6,'Month-End Provisions'!$B$5:$B$1004,"&lt;="&amp;$B6))</f>
        <v>27000</v>
      </c>
      <c r="J6" s="14">
        <f>IF(OR($A6="",$C6="?"),"",$C6-$I6)</f>
        <v>93000</v>
      </c>
      <c r="K6" s="18" t="str">
        <f>IF($A6="","",_xlfn._xlws.XLOOKUP($A6,'Matters Register'!$A$5:$A$44,'Matters Register'!$D$5:$D$44,""))</f>
        <v>Priya Shah</v>
      </c>
      <c r="L6" s="6" t="n"/>
      <c r="M6" s="6" t="n"/>
      <c r="N6" s="9" t="n"/>
      <c r="O6" s="19" t="str">
        <f>IF(OR($H6="",$H6=0),"",IF(COUNTIFS($A$5:$A$64,$A6,$B$5:$B$64,"&gt;"&amp;$B6)&gt;0,"Yes","No"))</f>
        <v>Yes</v>
      </c>
      <c r="P6" s="20" t="str">
        <f>IF(AND($H6&lt;&gt;"",$H6&lt;&gt;0,NOT(OR($L6="Reforecast",$L6="Accepted"))),"YES","")</f>
        <v>YES</v>
      </c>
      <c r="Q6" s="21" t="str">
        <f>IF(OR($H6="",$H6=0),"",IF(OR($L6="Reforecast",$L6="Accepted"),"Signed off: "&amp;$L6,IF($O6="Yes","Reforecast entered — confirm sign-off","Awaiting reforecast")))</f>
        <v>Reforecast entered — confirm sign-off</v>
      </c>
    </row>
    <row r="7">
      <c r="A7" s="6" t="inlineStr">
        <is>
          <t>M-1001</t>
        </is>
      </c>
      <c r="B7" s="11" t="n">
        <v>46327</v>
      </c>
      <c r="C7" s="12">
        <f>IF($A7="","",_xlfn._xlws.XLOOKUP($A7,'Matters Register'!$A$5:$A$44,'Matters Register'!$E$5:$E$44,"?"))</f>
        <v>120000</v>
      </c>
      <c r="D7" s="13" t="n">
        <v>24000</v>
      </c>
      <c r="E7" s="14">
        <f>IF($A7="","",SUMIFS($D$5:$D$64,$A$5:$A$64,$A7,$B$5:$B$64,"&lt;="&amp;$B7))</f>
        <v>54000</v>
      </c>
      <c r="F7" s="15">
        <f>IF(OR($A7="",$C7=0,$C7="?"),"",$E7/$C7)</f>
        <v>0.45</v>
      </c>
      <c r="G7" s="16">
        <f>IF($A7="","",IF(COUNTIFS('Month-End Provisions'!$A$5:$A$1004,$A7,'Month-End Provisions'!$B$5:$B$1004,$B7)=0,"",SUMIFS('Month-End Provisions'!$C$5:$C$1004,'Month-End Provisions'!$A$5:$A$1004,$A7,'Month-End Provisions'!$B$5:$B$1004,$B7)))</f>
        <v>26000</v>
      </c>
      <c r="H7" s="17">
        <f>IF(OR($G7="",$D7=""),"",$G7-$D7)</f>
        <v>2000</v>
      </c>
      <c r="I7" s="16">
        <f>IF($A7="","",SUMIFS('Month-End Provisions'!$C$5:$C$1004,'Month-End Provisions'!$A$5:$A$1004,$A7,'Month-End Provisions'!$B$5:$B$1004,"&lt;="&amp;$B7))</f>
        <v>53000</v>
      </c>
      <c r="J7" s="14">
        <f>IF(OR($A7="",$C7="?"),"",$C7-$I7)</f>
        <v>67000</v>
      </c>
      <c r="K7" s="18" t="str">
        <f>IF($A7="","",_xlfn._xlws.XLOOKUP($A7,'Matters Register'!$A$5:$A$44,'Matters Register'!$D$5:$D$44,""))</f>
        <v>Priya Shah</v>
      </c>
      <c r="L7" s="6" t="n"/>
      <c r="M7" s="6" t="n"/>
      <c r="N7" s="9" t="n"/>
      <c r="O7" s="19" t="str">
        <f>IF(OR($H7="",$H7=0),"",IF(COUNTIFS($A$5:$A$64,$A7,$B$5:$B$64,"&gt;"&amp;$B7)&gt;0,"Yes","No"))</f>
        <v>No</v>
      </c>
      <c r="P7" s="20" t="str">
        <f>IF(AND($H7&lt;&gt;"",$H7&lt;&gt;0,NOT(OR($L7="Reforecast",$L7="Accepted"))),"YES","")</f>
        <v>YES</v>
      </c>
      <c r="Q7" s="21" t="str">
        <f>IF(OR($H7="",$H7=0),"",IF(OR($L7="Reforecast",$L7="Accepted"),"Signed off: "&amp;$L7,IF($O7="Yes","Reforecast entered — confirm sign-off","Awaiting reforecast")))</f>
        <v>Awaiting reforecast</v>
      </c>
    </row>
    <row r="8">
      <c r="A8" s="6" t="inlineStr">
        <is>
          <t>M-1002</t>
        </is>
      </c>
      <c r="B8" s="11" t="n">
        <v>46296</v>
      </c>
      <c r="C8" s="12">
        <f>IF($A8="","",_xlfn._xlws.XLOOKUP($A8,'Matters Register'!$A$5:$A$44,'Matters Register'!$E$5:$E$44,"?"))</f>
        <v>90000</v>
      </c>
      <c r="D8" s="13" t="n">
        <v>13500</v>
      </c>
      <c r="E8" s="14">
        <f>IF($A8="","",SUMIFS($D$5:$D$64,$A$5:$A$64,$A8,$B$5:$B$64,"&lt;="&amp;$B8))</f>
        <v>13500</v>
      </c>
      <c r="F8" s="15">
        <f>IF(OR($A8="",$C8=0,$C8="?"),"",$E8/$C8)</f>
        <v>0.15</v>
      </c>
      <c r="G8" s="16">
        <f>IF($A8="","",IF(COUNTIFS('Month-End Provisions'!$A$5:$A$1004,$A8,'Month-End Provisions'!$B$5:$B$1004,$B8)=0,"",SUMIFS('Month-End Provisions'!$C$5:$C$1004,'Month-End Provisions'!$A$5:$A$1004,$A8,'Month-End Provisions'!$B$5:$B$1004,$B8)))</f>
        <v>13500</v>
      </c>
      <c r="H8" s="17">
        <f>IF(OR($G8="",$D8=""),"",$G8-$D8)</f>
        <v>0</v>
      </c>
      <c r="I8" s="16">
        <f>IF($A8="","",SUMIFS('Month-End Provisions'!$C$5:$C$1004,'Month-End Provisions'!$A$5:$A$1004,$A8,'Month-End Provisions'!$B$5:$B$1004,"&lt;="&amp;$B8))</f>
        <v>13500</v>
      </c>
      <c r="J8" s="14">
        <f>IF(OR($A8="",$C8="?"),"",$C8-$I8)</f>
        <v>76500</v>
      </c>
      <c r="K8" s="18" t="str">
        <f>IF($A8="","",_xlfn._xlws.XLOOKUP($A8,'Matters Register'!$A$5:$A$44,'Matters Register'!$D$5:$D$44,""))</f>
        <v>James Okoro</v>
      </c>
      <c r="L8" s="6" t="n"/>
      <c r="M8" s="6" t="n"/>
      <c r="N8" s="9" t="n"/>
      <c r="O8" s="19" t="str">
        <f>IF(OR($H8="",$H8=0),"",IF(COUNTIFS($A$5:$A$64,$A8,$B$5:$B$64,"&gt;"&amp;$B8)&gt;0,"Yes","No"))</f>
        <v/>
      </c>
      <c r="P8" s="20" t="str">
        <f>IF(AND($H8&lt;&gt;"",$H8&lt;&gt;0,NOT(OR($L8="Reforecast",$L8="Accepted"))),"YES","")</f>
        <v/>
      </c>
      <c r="Q8" s="21" t="str">
        <f>IF(OR($H8="",$H8=0),"",IF(OR($L8="Reforecast",$L8="Accepted"),"Signed off: "&amp;$L8,IF($O8="Yes","Reforecast entered — confirm sign-off","Awaiting reforecast")))</f>
        <v/>
      </c>
    </row>
    <row r="9">
      <c r="A9" s="6" t="inlineStr">
        <is>
          <t>M-1002</t>
        </is>
      </c>
      <c r="B9" s="11" t="n">
        <v>46327</v>
      </c>
      <c r="C9" s="12">
        <f>IF($A9="","",_xlfn._xlws.XLOOKUP($A9,'Matters Register'!$A$5:$A$44,'Matters Register'!$E$5:$E$44,"?"))</f>
        <v>90000</v>
      </c>
      <c r="D9" s="13" t="n">
        <v>13500</v>
      </c>
      <c r="E9" s="14">
        <f>IF($A9="","",SUMIFS($D$5:$D$64,$A$5:$A$64,$A9,$B$5:$B$64,"&lt;="&amp;$B9))</f>
        <v>27000</v>
      </c>
      <c r="F9" s="15">
        <f>IF(OR($A9="",$C9=0,$C9="?"),"",$E9/$C9)</f>
        <v>0.3</v>
      </c>
      <c r="G9" s="16" t="str">
        <f>IF($A9="","",IF(COUNTIFS('Month-End Provisions'!$A$5:$A$1004,$A9,'Month-End Provisions'!$B$5:$B$1004,$B9)=0,"",SUMIFS('Month-End Provisions'!$C$5:$C$1004,'Month-End Provisions'!$A$5:$A$1004,$A9,'Month-End Provisions'!$B$5:$B$1004,$B9)))</f>
        <v/>
      </c>
      <c r="H9" s="17" t="str">
        <f>IF(OR($G9="",$D9=""),"",$G9-$D9)</f>
        <v/>
      </c>
      <c r="I9" s="16">
        <f>IF($A9="","",SUMIFS('Month-End Provisions'!$C$5:$C$1004,'Month-End Provisions'!$A$5:$A$1004,$A9,'Month-End Provisions'!$B$5:$B$1004,"&lt;="&amp;$B9))</f>
        <v>13500</v>
      </c>
      <c r="J9" s="14">
        <f>IF(OR($A9="",$C9="?"),"",$C9-$I9)</f>
        <v>76500</v>
      </c>
      <c r="K9" s="18" t="str">
        <f>IF($A9="","",_xlfn._xlws.XLOOKUP($A9,'Matters Register'!$A$5:$A$44,'Matters Register'!$D$5:$D$44,""))</f>
        <v>James Okoro</v>
      </c>
      <c r="L9" s="6" t="n"/>
      <c r="M9" s="6" t="n"/>
      <c r="N9" s="9" t="n"/>
      <c r="O9" s="19" t="str">
        <f>IF(OR($H9="",$H9=0),"",IF(COUNTIFS($A$5:$A$64,$A9,$B$5:$B$64,"&gt;"&amp;$B9)&gt;0,"Yes","No"))</f>
        <v/>
      </c>
      <c r="P9" s="20" t="str">
        <f>IF(AND($H9&lt;&gt;"",$H9&lt;&gt;0,NOT(OR($L9="Reforecast",$L9="Accepted"))),"YES","")</f>
        <v/>
      </c>
      <c r="Q9" s="21" t="str">
        <f>IF(OR($H9="",$H9=0),"",IF(OR($L9="Reforecast",$L9="Accepted"),"Signed off: "&amp;$L9,IF($O9="Yes","Reforecast entered — confirm sign-off","Awaiting reforecast")))</f>
        <v/>
      </c>
    </row>
    <row r="10">
      <c r="A10" s="6" t="inlineStr">
        <is>
          <t>M-1003</t>
        </is>
      </c>
      <c r="B10" s="11" t="n">
        <v>46266</v>
      </c>
      <c r="C10" s="12">
        <f>IF($A10="","",_xlfn._xlws.XLOOKUP($A10,'Matters Register'!$A$5:$A$44,'Matters Register'!$E$5:$E$44,"?"))</f>
        <v>60000</v>
      </c>
      <c r="D10" s="13" t="n">
        <v>12000</v>
      </c>
      <c r="E10" s="14">
        <f>IF($A10="","",SUMIFS($D$5:$D$64,$A$5:$A$64,$A10,$B$5:$B$64,"&lt;="&amp;$B10))</f>
        <v>12000</v>
      </c>
      <c r="F10" s="15">
        <f>IF(OR($A10="",$C10=0,$C10="?"),"",$E10/$C10)</f>
        <v>0.2</v>
      </c>
      <c r="G10" s="16">
        <f>IF($A10="","",IF(COUNTIFS('Month-End Provisions'!$A$5:$A$1004,$A10,'Month-End Provisions'!$B$5:$B$1004,$B10)=0,"",SUMIFS('Month-End Provisions'!$C$5:$C$1004,'Month-End Provisions'!$A$5:$A$1004,$A10,'Month-End Provisions'!$B$5:$B$1004,$B10)))</f>
        <v>12000</v>
      </c>
      <c r="H10" s="17">
        <f>IF(OR($G10="",$D10=""),"",$G10-$D10)</f>
        <v>0</v>
      </c>
      <c r="I10" s="16">
        <f>IF($A10="","",SUMIFS('Month-End Provisions'!$C$5:$C$1004,'Month-End Provisions'!$A$5:$A$1004,$A10,'Month-End Provisions'!$B$5:$B$1004,"&lt;="&amp;$B10))</f>
        <v>12000</v>
      </c>
      <c r="J10" s="14">
        <f>IF(OR($A10="",$C10="?"),"",$C10-$I10)</f>
        <v>48000</v>
      </c>
      <c r="K10" s="18" t="str">
        <f>IF($A10="","",_xlfn._xlws.XLOOKUP($A10,'Matters Register'!$A$5:$A$44,'Matters Register'!$D$5:$D$44,""))</f>
        <v>Priya Shah</v>
      </c>
      <c r="L10" s="6" t="n"/>
      <c r="M10" s="6" t="n"/>
      <c r="N10" s="9" t="n"/>
      <c r="O10" s="19" t="str">
        <f>IF(OR($H10="",$H10=0),"",IF(COUNTIFS($A$5:$A$64,$A10,$B$5:$B$64,"&gt;"&amp;$B10)&gt;0,"Yes","No"))</f>
        <v/>
      </c>
      <c r="P10" s="20" t="str">
        <f>IF(AND($H10&lt;&gt;"",$H10&lt;&gt;0,NOT(OR($L10="Reforecast",$L10="Accepted"))),"YES","")</f>
        <v/>
      </c>
      <c r="Q10" s="21" t="str">
        <f>IF(OR($H10="",$H10=0),"",IF(OR($L10="Reforecast",$L10="Accepted"),"Signed off: "&amp;$L10,IF($O10="Yes","Reforecast entered — confirm sign-off","Awaiting reforecast")))</f>
        <v/>
      </c>
    </row>
    <row r="11">
      <c r="A11" s="6" t="inlineStr">
        <is>
          <t>M-1003</t>
        </is>
      </c>
      <c r="B11" s="11" t="n">
        <v>46296</v>
      </c>
      <c r="C11" s="12">
        <f>IF($A11="","",_xlfn._xlws.XLOOKUP($A11,'Matters Register'!$A$5:$A$44,'Matters Register'!$E$5:$E$44,"?"))</f>
        <v>60000</v>
      </c>
      <c r="D11" s="13" t="n">
        <v>12000</v>
      </c>
      <c r="E11" s="14">
        <f>IF($A11="","",SUMIFS($D$5:$D$64,$A$5:$A$64,$A11,$B$5:$B$64,"&lt;="&amp;$B11))</f>
        <v>24000</v>
      </c>
      <c r="F11" s="15">
        <f>IF(OR($A11="",$C11=0,$C11="?"),"",$E11/$C11)</f>
        <v>0.4</v>
      </c>
      <c r="G11" s="16">
        <f>IF($A11="","",IF(COUNTIFS('Month-End Provisions'!$A$5:$A$1004,$A11,'Month-End Provisions'!$B$5:$B$1004,$B11)=0,"",SUMIFS('Month-End Provisions'!$C$5:$C$1004,'Month-End Provisions'!$A$5:$A$1004,$A11,'Month-End Provisions'!$B$5:$B$1004,$B11)))</f>
        <v>11000</v>
      </c>
      <c r="H11" s="17">
        <f>IF(OR($G11="",$D11=""),"",$G11-$D11)</f>
        <v>-1000</v>
      </c>
      <c r="I11" s="16">
        <f>IF($A11="","",SUMIFS('Month-End Provisions'!$C$5:$C$1004,'Month-End Provisions'!$A$5:$A$1004,$A11,'Month-End Provisions'!$B$5:$B$1004,"&lt;="&amp;$B11))</f>
        <v>23000</v>
      </c>
      <c r="J11" s="14">
        <f>IF(OR($A11="",$C11="?"),"",$C11-$I11)</f>
        <v>37000</v>
      </c>
      <c r="K11" s="18" t="str">
        <f>IF($A11="","",_xlfn._xlws.XLOOKUP($A11,'Matters Register'!$A$5:$A$44,'Matters Register'!$D$5:$D$44,""))</f>
        <v>Priya Shah</v>
      </c>
      <c r="L11" s="6" t="inlineStr">
        <is>
          <t>Reforecast</t>
        </is>
      </c>
      <c r="M11" s="6" t="inlineStr">
        <is>
          <t>PS</t>
        </is>
      </c>
      <c r="N11" s="9" t="n">
        <v>46330</v>
      </c>
      <c r="O11" s="19" t="str">
        <f>IF(OR($H11="",$H11=0),"",IF(COUNTIFS($A$5:$A$64,$A11,$B$5:$B$64,"&gt;"&amp;$B11)&gt;0,"Yes","No"))</f>
        <v>Yes</v>
      </c>
      <c r="P11" s="20" t="str">
        <f>IF(AND($H11&lt;&gt;"",$H11&lt;&gt;0,NOT(OR($L11="Reforecast",$L11="Accepted"))),"YES","")</f>
        <v/>
      </c>
      <c r="Q11" s="21" t="str">
        <f>IF(OR($H11="",$H11=0),"",IF(OR($L11="Reforecast",$L11="Accepted"),"Signed off: "&amp;$L11,IF($O11="Yes","Reforecast entered — confirm sign-off","Awaiting reforecast")))</f>
        <v>Signed off: Reforecast</v>
      </c>
    </row>
    <row r="12">
      <c r="A12" s="6" t="inlineStr">
        <is>
          <t>M-1003</t>
        </is>
      </c>
      <c r="B12" s="11" t="n">
        <v>46327</v>
      </c>
      <c r="C12" s="12">
        <f>IF($A12="","",_xlfn._xlws.XLOOKUP($A12,'Matters Register'!$A$5:$A$44,'Matters Register'!$E$5:$E$44,"?"))</f>
        <v>60000</v>
      </c>
      <c r="D12" s="13" t="n">
        <v>15000</v>
      </c>
      <c r="E12" s="14">
        <f>IF($A12="","",SUMIFS($D$5:$D$64,$A$5:$A$64,$A12,$B$5:$B$64,"&lt;="&amp;$B12))</f>
        <v>39000</v>
      </c>
      <c r="F12" s="15">
        <f>IF(OR($A12="",$C12=0,$C12="?"),"",$E12/$C12)</f>
        <v>0.65</v>
      </c>
      <c r="G12" s="16" t="str">
        <f>IF($A12="","",IF(COUNTIFS('Month-End Provisions'!$A$5:$A$1004,$A12,'Month-End Provisions'!$B$5:$B$1004,$B12)=0,"",SUMIFS('Month-End Provisions'!$C$5:$C$1004,'Month-End Provisions'!$A$5:$A$1004,$A12,'Month-End Provisions'!$B$5:$B$1004,$B12)))</f>
        <v/>
      </c>
      <c r="H12" s="17" t="str">
        <f>IF(OR($G12="",$D12=""),"",$G12-$D12)</f>
        <v/>
      </c>
      <c r="I12" s="16">
        <f>IF($A12="","",SUMIFS('Month-End Provisions'!$C$5:$C$1004,'Month-End Provisions'!$A$5:$A$1004,$A12,'Month-End Provisions'!$B$5:$B$1004,"&lt;="&amp;$B12))</f>
        <v>23000</v>
      </c>
      <c r="J12" s="14">
        <f>IF(OR($A12="",$C12="?"),"",$C12-$I12)</f>
        <v>37000</v>
      </c>
      <c r="K12" s="18" t="str">
        <f>IF($A12="","",_xlfn._xlws.XLOOKUP($A12,'Matters Register'!$A$5:$A$44,'Matters Register'!$D$5:$D$44,""))</f>
        <v>Priya Shah</v>
      </c>
      <c r="L12" s="6" t="n"/>
      <c r="M12" s="6" t="n"/>
      <c r="N12" s="9" t="n"/>
      <c r="O12" s="19" t="str">
        <f>IF(OR($H12="",$H12=0),"",IF(COUNTIFS($A$5:$A$64,$A12,$B$5:$B$64,"&gt;"&amp;$B12)&gt;0,"Yes","No"))</f>
        <v/>
      </c>
      <c r="P12" s="20" t="str">
        <f>IF(AND($H12&lt;&gt;"",$H12&lt;&gt;0,NOT(OR($L12="Reforecast",$L12="Accepted"))),"YES","")</f>
        <v/>
      </c>
      <c r="Q12" s="21" t="str">
        <f>IF(OR($H12="",$H12=0),"",IF(OR($L12="Reforecast",$L12="Accepted"),"Signed off: "&amp;$L12,IF($O12="Yes","Reforecast entered — confirm sign-off","Awaiting reforecast")))</f>
        <v/>
      </c>
    </row>
    <row r="13">
      <c r="A13" s="6" t="n"/>
      <c r="B13" s="11" t="n"/>
      <c r="C13" s="12" t="str">
        <f>IF($A13="","",_xlfn._xlws.XLOOKUP($A13,'Matters Register'!$A$5:$A$44,'Matters Register'!$E$5:$E$44,"?"))</f>
        <v/>
      </c>
      <c r="D13" s="13" t="n"/>
      <c r="E13" s="14" t="str">
        <f>IF($A13="","",SUMIFS($D$5:$D$64,$A$5:$A$64,$A13,$B$5:$B$64,"&lt;="&amp;$B13))</f>
        <v/>
      </c>
      <c r="F13" s="15" t="str">
        <f>IF(OR($A13="",$C13=0,$C13="?"),"",$E13/$C13)</f>
        <v/>
      </c>
      <c r="G13" s="16" t="str">
        <f>IF($A13="","",IF(COUNTIFS('Month-End Provisions'!$A$5:$A$1004,$A13,'Month-End Provisions'!$B$5:$B$1004,$B13)=0,"",SUMIFS('Month-End Provisions'!$C$5:$C$1004,'Month-End Provisions'!$A$5:$A$1004,$A13,'Month-End Provisions'!$B$5:$B$1004,$B13)))</f>
        <v/>
      </c>
      <c r="H13" s="17" t="str">
        <f>IF(OR($G13="",$D13=""),"",$G13-$D13)</f>
        <v/>
      </c>
      <c r="I13" s="16" t="str">
        <f>IF($A13="","",SUMIFS('Month-End Provisions'!$C$5:$C$1004,'Month-End Provisions'!$A$5:$A$1004,$A13,'Month-End Provisions'!$B$5:$B$1004,"&lt;="&amp;$B13))</f>
        <v/>
      </c>
      <c r="J13" s="14" t="str">
        <f>IF(OR($A13="",$C13="?"),"",$C13-$I13)</f>
        <v/>
      </c>
      <c r="K13" s="18" t="str">
        <f>IF($A13="","",_xlfn._xlws.XLOOKUP($A13,'Matters Register'!$A$5:$A$44,'Matters Register'!$D$5:$D$44,""))</f>
        <v/>
      </c>
      <c r="L13" s="6" t="n"/>
      <c r="M13" s="6" t="n"/>
      <c r="N13" s="9" t="n"/>
      <c r="O13" s="19" t="str">
        <f>IF(OR($H13="",$H13=0),"",IF(COUNTIFS($A$5:$A$64,$A13,$B$5:$B$64,"&gt;"&amp;$B13)&gt;0,"Yes","No"))</f>
        <v/>
      </c>
      <c r="P13" s="20" t="str">
        <f>IF(AND($H13&lt;&gt;"",$H13&lt;&gt;0,NOT(OR($L13="Reforecast",$L13="Accepted"))),"YES","")</f>
        <v/>
      </c>
      <c r="Q13" s="21" t="str">
        <f>IF(OR($H13="",$H13=0),"",IF(OR($L13="Reforecast",$L13="Accepted"),"Signed off: "&amp;$L13,IF($O13="Yes","Reforecast entered — confirm sign-off","Awaiting reforecast")))</f>
        <v/>
      </c>
    </row>
    <row r="14">
      <c r="A14" s="6" t="n"/>
      <c r="B14" s="11" t="n"/>
      <c r="C14" s="12" t="str">
        <f>IF($A14="","",_xlfn._xlws.XLOOKUP($A14,'Matters Register'!$A$5:$A$44,'Matters Register'!$E$5:$E$44,"?"))</f>
        <v/>
      </c>
      <c r="D14" s="13" t="n"/>
      <c r="E14" s="14" t="str">
        <f>IF($A14="","",SUMIFS($D$5:$D$64,$A$5:$A$64,$A14,$B$5:$B$64,"&lt;="&amp;$B14))</f>
        <v/>
      </c>
      <c r="F14" s="15" t="str">
        <f>IF(OR($A14="",$C14=0,$C14="?"),"",$E14/$C14)</f>
        <v/>
      </c>
      <c r="G14" s="16" t="str">
        <f>IF($A14="","",IF(COUNTIFS('Month-End Provisions'!$A$5:$A$1004,$A14,'Month-End Provisions'!$B$5:$B$1004,$B14)=0,"",SUMIFS('Month-End Provisions'!$C$5:$C$1004,'Month-End Provisions'!$A$5:$A$1004,$A14,'Month-End Provisions'!$B$5:$B$1004,$B14)))</f>
        <v/>
      </c>
      <c r="H14" s="17" t="str">
        <f>IF(OR($G14="",$D14=""),"",$G14-$D14)</f>
        <v/>
      </c>
      <c r="I14" s="16" t="str">
        <f>IF($A14="","",SUMIFS('Month-End Provisions'!$C$5:$C$1004,'Month-End Provisions'!$A$5:$A$1004,$A14,'Month-End Provisions'!$B$5:$B$1004,"&lt;="&amp;$B14))</f>
        <v/>
      </c>
      <c r="J14" s="14" t="str">
        <f>IF(OR($A14="",$C14="?"),"",$C14-$I14)</f>
        <v/>
      </c>
      <c r="K14" s="18" t="str">
        <f>IF($A14="","",_xlfn._xlws.XLOOKUP($A14,'Matters Register'!$A$5:$A$44,'Matters Register'!$D$5:$D$44,""))</f>
        <v/>
      </c>
      <c r="L14" s="6" t="n"/>
      <c r="M14" s="6" t="n"/>
      <c r="N14" s="9" t="n"/>
      <c r="O14" s="19" t="str">
        <f>IF(OR($H14="",$H14=0),"",IF(COUNTIFS($A$5:$A$64,$A14,$B$5:$B$64,"&gt;"&amp;$B14)&gt;0,"Yes","No"))</f>
        <v/>
      </c>
      <c r="P14" s="20" t="str">
        <f>IF(AND($H14&lt;&gt;"",$H14&lt;&gt;0,NOT(OR($L14="Reforecast",$L14="Accepted"))),"YES","")</f>
        <v/>
      </c>
      <c r="Q14" s="21" t="str">
        <f>IF(OR($H14="",$H14=0),"",IF(OR($L14="Reforecast",$L14="Accepted"),"Signed off: "&amp;$L14,IF($O14="Yes","Reforecast entered — confirm sign-off","Awaiting reforecast")))</f>
        <v/>
      </c>
    </row>
    <row r="15">
      <c r="A15" s="6" t="n"/>
      <c r="B15" s="11" t="n"/>
      <c r="C15" s="12" t="str">
        <f>IF($A15="","",_xlfn._xlws.XLOOKUP($A15,'Matters Register'!$A$5:$A$44,'Matters Register'!$E$5:$E$44,"?"))</f>
        <v/>
      </c>
      <c r="D15" s="13" t="n"/>
      <c r="E15" s="14" t="str">
        <f>IF($A15="","",SUMIFS($D$5:$D$64,$A$5:$A$64,$A15,$B$5:$B$64,"&lt;="&amp;$B15))</f>
        <v/>
      </c>
      <c r="F15" s="15" t="str">
        <f>IF(OR($A15="",$C15=0,$C15="?"),"",$E15/$C15)</f>
        <v/>
      </c>
      <c r="G15" s="16" t="str">
        <f>IF($A15="","",IF(COUNTIFS('Month-End Provisions'!$A$5:$A$1004,$A15,'Month-End Provisions'!$B$5:$B$1004,$B15)=0,"",SUMIFS('Month-End Provisions'!$C$5:$C$1004,'Month-End Provisions'!$A$5:$A$1004,$A15,'Month-End Provisions'!$B$5:$B$1004,$B15)))</f>
        <v/>
      </c>
      <c r="H15" s="17" t="str">
        <f>IF(OR($G15="",$D15=""),"",$G15-$D15)</f>
        <v/>
      </c>
      <c r="I15" s="16" t="str">
        <f>IF($A15="","",SUMIFS('Month-End Provisions'!$C$5:$C$1004,'Month-End Provisions'!$A$5:$A$1004,$A15,'Month-End Provisions'!$B$5:$B$1004,"&lt;="&amp;$B15))</f>
        <v/>
      </c>
      <c r="J15" s="14" t="str">
        <f>IF(OR($A15="",$C15="?"),"",$C15-$I15)</f>
        <v/>
      </c>
      <c r="K15" s="18" t="str">
        <f>IF($A15="","",_xlfn._xlws.XLOOKUP($A15,'Matters Register'!$A$5:$A$44,'Matters Register'!$D$5:$D$44,""))</f>
        <v/>
      </c>
      <c r="L15" s="6" t="n"/>
      <c r="M15" s="6" t="n"/>
      <c r="N15" s="9" t="n"/>
      <c r="O15" s="19" t="str">
        <f>IF(OR($H15="",$H15=0),"",IF(COUNTIFS($A$5:$A$64,$A15,$B$5:$B$64,"&gt;"&amp;$B15)&gt;0,"Yes","No"))</f>
        <v/>
      </c>
      <c r="P15" s="20" t="str">
        <f>IF(AND($H15&lt;&gt;"",$H15&lt;&gt;0,NOT(OR($L15="Reforecast",$L15="Accepted"))),"YES","")</f>
        <v/>
      </c>
      <c r="Q15" s="21" t="str">
        <f>IF(OR($H15="",$H15=0),"",IF(OR($L15="Reforecast",$L15="Accepted"),"Signed off: "&amp;$L15,IF($O15="Yes","Reforecast entered — confirm sign-off","Awaiting reforecast")))</f>
        <v/>
      </c>
    </row>
    <row r="16">
      <c r="A16" s="6" t="n"/>
      <c r="B16" s="11" t="n"/>
      <c r="C16" s="12" t="str">
        <f>IF($A16="","",_xlfn._xlws.XLOOKUP($A16,'Matters Register'!$A$5:$A$44,'Matters Register'!$E$5:$E$44,"?"))</f>
        <v/>
      </c>
      <c r="D16" s="13" t="n"/>
      <c r="E16" s="14" t="str">
        <f>IF($A16="","",SUMIFS($D$5:$D$64,$A$5:$A$64,$A16,$B$5:$B$64,"&lt;="&amp;$B16))</f>
        <v/>
      </c>
      <c r="F16" s="15" t="str">
        <f>IF(OR($A16="",$C16=0,$C16="?"),"",$E16/$C16)</f>
        <v/>
      </c>
      <c r="G16" s="16" t="str">
        <f>IF($A16="","",IF(COUNTIFS('Month-End Provisions'!$A$5:$A$1004,$A16,'Month-End Provisions'!$B$5:$B$1004,$B16)=0,"",SUMIFS('Month-End Provisions'!$C$5:$C$1004,'Month-End Provisions'!$A$5:$A$1004,$A16,'Month-End Provisions'!$B$5:$B$1004,$B16)))</f>
        <v/>
      </c>
      <c r="H16" s="17" t="str">
        <f>IF(OR($G16="",$D16=""),"",$G16-$D16)</f>
        <v/>
      </c>
      <c r="I16" s="16" t="str">
        <f>IF($A16="","",SUMIFS('Month-End Provisions'!$C$5:$C$1004,'Month-End Provisions'!$A$5:$A$1004,$A16,'Month-End Provisions'!$B$5:$B$1004,"&lt;="&amp;$B16))</f>
        <v/>
      </c>
      <c r="J16" s="14" t="str">
        <f>IF(OR($A16="",$C16="?"),"",$C16-$I16)</f>
        <v/>
      </c>
      <c r="K16" s="18" t="str">
        <f>IF($A16="","",_xlfn._xlws.XLOOKUP($A16,'Matters Register'!$A$5:$A$44,'Matters Register'!$D$5:$D$44,""))</f>
        <v/>
      </c>
      <c r="L16" s="6" t="n"/>
      <c r="M16" s="6" t="n"/>
      <c r="N16" s="9" t="n"/>
      <c r="O16" s="19" t="str">
        <f>IF(OR($H16="",$H16=0),"",IF(COUNTIFS($A$5:$A$64,$A16,$B$5:$B$64,"&gt;"&amp;$B16)&gt;0,"Yes","No"))</f>
        <v/>
      </c>
      <c r="P16" s="20" t="str">
        <f>IF(AND($H16&lt;&gt;"",$H16&lt;&gt;0,NOT(OR($L16="Reforecast",$L16="Accepted"))),"YES","")</f>
        <v/>
      </c>
      <c r="Q16" s="21" t="str">
        <f>IF(OR($H16="",$H16=0),"",IF(OR($L16="Reforecast",$L16="Accepted"),"Signed off: "&amp;$L16,IF($O16="Yes","Reforecast entered — confirm sign-off","Awaiting reforecast")))</f>
        <v/>
      </c>
    </row>
    <row r="17">
      <c r="A17" s="6" t="n"/>
      <c r="B17" s="11" t="n"/>
      <c r="C17" s="12" t="str">
        <f>IF($A17="","",_xlfn._xlws.XLOOKUP($A17,'Matters Register'!$A$5:$A$44,'Matters Register'!$E$5:$E$44,"?"))</f>
        <v/>
      </c>
      <c r="D17" s="13" t="n"/>
      <c r="E17" s="14" t="str">
        <f>IF($A17="","",SUMIFS($D$5:$D$64,$A$5:$A$64,$A17,$B$5:$B$64,"&lt;="&amp;$B17))</f>
        <v/>
      </c>
      <c r="F17" s="15" t="str">
        <f>IF(OR($A17="",$C17=0,$C17="?"),"",$E17/$C17)</f>
        <v/>
      </c>
      <c r="G17" s="16" t="str">
        <f>IF($A17="","",IF(COUNTIFS('Month-End Provisions'!$A$5:$A$1004,$A17,'Month-End Provisions'!$B$5:$B$1004,$B17)=0,"",SUMIFS('Month-End Provisions'!$C$5:$C$1004,'Month-End Provisions'!$A$5:$A$1004,$A17,'Month-End Provisions'!$B$5:$B$1004,$B17)))</f>
        <v/>
      </c>
      <c r="H17" s="17" t="str">
        <f>IF(OR($G17="",$D17=""),"",$G17-$D17)</f>
        <v/>
      </c>
      <c r="I17" s="16" t="str">
        <f>IF($A17="","",SUMIFS('Month-End Provisions'!$C$5:$C$1004,'Month-End Provisions'!$A$5:$A$1004,$A17,'Month-End Provisions'!$B$5:$B$1004,"&lt;="&amp;$B17))</f>
        <v/>
      </c>
      <c r="J17" s="14" t="str">
        <f>IF(OR($A17="",$C17="?"),"",$C17-$I17)</f>
        <v/>
      </c>
      <c r="K17" s="18" t="str">
        <f>IF($A17="","",_xlfn._xlws.XLOOKUP($A17,'Matters Register'!$A$5:$A$44,'Matters Register'!$D$5:$D$44,""))</f>
        <v/>
      </c>
      <c r="L17" s="6" t="n"/>
      <c r="M17" s="6" t="n"/>
      <c r="N17" s="9" t="n"/>
      <c r="O17" s="19" t="str">
        <f>IF(OR($H17="",$H17=0),"",IF(COUNTIFS($A$5:$A$64,$A17,$B$5:$B$64,"&gt;"&amp;$B17)&gt;0,"Yes","No"))</f>
        <v/>
      </c>
      <c r="P17" s="20" t="str">
        <f>IF(AND($H17&lt;&gt;"",$H17&lt;&gt;0,NOT(OR($L17="Reforecast",$L17="Accepted"))),"YES","")</f>
        <v/>
      </c>
      <c r="Q17" s="21" t="str">
        <f>IF(OR($H17="",$H17=0),"",IF(OR($L17="Reforecast",$L17="Accepted"),"Signed off: "&amp;$L17,IF($O17="Yes","Reforecast entered — confirm sign-off","Awaiting reforecast")))</f>
        <v/>
      </c>
    </row>
    <row r="18">
      <c r="A18" s="6" t="n"/>
      <c r="B18" s="11" t="n"/>
      <c r="C18" s="12" t="str">
        <f>IF($A18="","",_xlfn._xlws.XLOOKUP($A18,'Matters Register'!$A$5:$A$44,'Matters Register'!$E$5:$E$44,"?"))</f>
        <v/>
      </c>
      <c r="D18" s="13" t="n"/>
      <c r="E18" s="14" t="str">
        <f>IF($A18="","",SUMIFS($D$5:$D$64,$A$5:$A$64,$A18,$B$5:$B$64,"&lt;="&amp;$B18))</f>
        <v/>
      </c>
      <c r="F18" s="15" t="str">
        <f>IF(OR($A18="",$C18=0,$C18="?"),"",$E18/$C18)</f>
        <v/>
      </c>
      <c r="G18" s="16" t="str">
        <f>IF($A18="","",IF(COUNTIFS('Month-End Provisions'!$A$5:$A$1004,$A18,'Month-End Provisions'!$B$5:$B$1004,$B18)=0,"",SUMIFS('Month-End Provisions'!$C$5:$C$1004,'Month-End Provisions'!$A$5:$A$1004,$A18,'Month-End Provisions'!$B$5:$B$1004,$B18)))</f>
        <v/>
      </c>
      <c r="H18" s="17" t="str">
        <f>IF(OR($G18="",$D18=""),"",$G18-$D18)</f>
        <v/>
      </c>
      <c r="I18" s="16" t="str">
        <f>IF($A18="","",SUMIFS('Month-End Provisions'!$C$5:$C$1004,'Month-End Provisions'!$A$5:$A$1004,$A18,'Month-End Provisions'!$B$5:$B$1004,"&lt;="&amp;$B18))</f>
        <v/>
      </c>
      <c r="J18" s="14" t="str">
        <f>IF(OR($A18="",$C18="?"),"",$C18-$I18)</f>
        <v/>
      </c>
      <c r="K18" s="18" t="str">
        <f>IF($A18="","",_xlfn._xlws.XLOOKUP($A18,'Matters Register'!$A$5:$A$44,'Matters Register'!$D$5:$D$44,""))</f>
        <v/>
      </c>
      <c r="L18" s="6" t="n"/>
      <c r="M18" s="6" t="n"/>
      <c r="N18" s="9" t="n"/>
      <c r="O18" s="19" t="str">
        <f>IF(OR($H18="",$H18=0),"",IF(COUNTIFS($A$5:$A$64,$A18,$B$5:$B$64,"&gt;"&amp;$B18)&gt;0,"Yes","No"))</f>
        <v/>
      </c>
      <c r="P18" s="20" t="str">
        <f>IF(AND($H18&lt;&gt;"",$H18&lt;&gt;0,NOT(OR($L18="Reforecast",$L18="Accepted"))),"YES","")</f>
        <v/>
      </c>
      <c r="Q18" s="21" t="str">
        <f>IF(OR($H18="",$H18=0),"",IF(OR($L18="Reforecast",$L18="Accepted"),"Signed off: "&amp;$L18,IF($O18="Yes","Reforecast entered — confirm sign-off","Awaiting reforecast")))</f>
        <v/>
      </c>
    </row>
    <row r="19">
      <c r="A19" s="6" t="n"/>
      <c r="B19" s="11" t="n"/>
      <c r="C19" s="12" t="str">
        <f>IF($A19="","",_xlfn._xlws.XLOOKUP($A19,'Matters Register'!$A$5:$A$44,'Matters Register'!$E$5:$E$44,"?"))</f>
        <v/>
      </c>
      <c r="D19" s="13" t="n"/>
      <c r="E19" s="14" t="str">
        <f>IF($A19="","",SUMIFS($D$5:$D$64,$A$5:$A$64,$A19,$B$5:$B$64,"&lt;="&amp;$B19))</f>
        <v/>
      </c>
      <c r="F19" s="15" t="str">
        <f>IF(OR($A19="",$C19=0,$C19="?"),"",$E19/$C19)</f>
        <v/>
      </c>
      <c r="G19" s="16" t="str">
        <f>IF($A19="","",IF(COUNTIFS('Month-End Provisions'!$A$5:$A$1004,$A19,'Month-End Provisions'!$B$5:$B$1004,$B19)=0,"",SUMIFS('Month-End Provisions'!$C$5:$C$1004,'Month-End Provisions'!$A$5:$A$1004,$A19,'Month-End Provisions'!$B$5:$B$1004,$B19)))</f>
        <v/>
      </c>
      <c r="H19" s="17" t="str">
        <f>IF(OR($G19="",$D19=""),"",$G19-$D19)</f>
        <v/>
      </c>
      <c r="I19" s="16" t="str">
        <f>IF($A19="","",SUMIFS('Month-End Provisions'!$C$5:$C$1004,'Month-End Provisions'!$A$5:$A$1004,$A19,'Month-End Provisions'!$B$5:$B$1004,"&lt;="&amp;$B19))</f>
        <v/>
      </c>
      <c r="J19" s="14" t="str">
        <f>IF(OR($A19="",$C19="?"),"",$C19-$I19)</f>
        <v/>
      </c>
      <c r="K19" s="18" t="str">
        <f>IF($A19="","",_xlfn._xlws.XLOOKUP($A19,'Matters Register'!$A$5:$A$44,'Matters Register'!$D$5:$D$44,""))</f>
        <v/>
      </c>
      <c r="L19" s="6" t="n"/>
      <c r="M19" s="6" t="n"/>
      <c r="N19" s="9" t="n"/>
      <c r="O19" s="19" t="str">
        <f>IF(OR($H19="",$H19=0),"",IF(COUNTIFS($A$5:$A$64,$A19,$B$5:$B$64,"&gt;"&amp;$B19)&gt;0,"Yes","No"))</f>
        <v/>
      </c>
      <c r="P19" s="20" t="str">
        <f>IF(AND($H19&lt;&gt;"",$H19&lt;&gt;0,NOT(OR($L19="Reforecast",$L19="Accepted"))),"YES","")</f>
        <v/>
      </c>
      <c r="Q19" s="21" t="str">
        <f>IF(OR($H19="",$H19=0),"",IF(OR($L19="Reforecast",$L19="Accepted"),"Signed off: "&amp;$L19,IF($O19="Yes","Reforecast entered — confirm sign-off","Awaiting reforecast")))</f>
        <v/>
      </c>
    </row>
    <row r="20">
      <c r="A20" s="6" t="n"/>
      <c r="B20" s="11" t="n"/>
      <c r="C20" s="12" t="str">
        <f>IF($A20="","",_xlfn._xlws.XLOOKUP($A20,'Matters Register'!$A$5:$A$44,'Matters Register'!$E$5:$E$44,"?"))</f>
        <v/>
      </c>
      <c r="D20" s="13" t="n"/>
      <c r="E20" s="14" t="str">
        <f>IF($A20="","",SUMIFS($D$5:$D$64,$A$5:$A$64,$A20,$B$5:$B$64,"&lt;="&amp;$B20))</f>
        <v/>
      </c>
      <c r="F20" s="15" t="str">
        <f>IF(OR($A20="",$C20=0,$C20="?"),"",$E20/$C20)</f>
        <v/>
      </c>
      <c r="G20" s="16" t="str">
        <f>IF($A20="","",IF(COUNTIFS('Month-End Provisions'!$A$5:$A$1004,$A20,'Month-End Provisions'!$B$5:$B$1004,$B20)=0,"",SUMIFS('Month-End Provisions'!$C$5:$C$1004,'Month-End Provisions'!$A$5:$A$1004,$A20,'Month-End Provisions'!$B$5:$B$1004,$B20)))</f>
        <v/>
      </c>
      <c r="H20" s="17" t="str">
        <f>IF(OR($G20="",$D20=""),"",$G20-$D20)</f>
        <v/>
      </c>
      <c r="I20" s="16" t="str">
        <f>IF($A20="","",SUMIFS('Month-End Provisions'!$C$5:$C$1004,'Month-End Provisions'!$A$5:$A$1004,$A20,'Month-End Provisions'!$B$5:$B$1004,"&lt;="&amp;$B20))</f>
        <v/>
      </c>
      <c r="J20" s="14" t="str">
        <f>IF(OR($A20="",$C20="?"),"",$C20-$I20)</f>
        <v/>
      </c>
      <c r="K20" s="18" t="str">
        <f>IF($A20="","",_xlfn._xlws.XLOOKUP($A20,'Matters Register'!$A$5:$A$44,'Matters Register'!$D$5:$D$44,""))</f>
        <v/>
      </c>
      <c r="L20" s="6" t="n"/>
      <c r="M20" s="6" t="n"/>
      <c r="N20" s="9" t="n"/>
      <c r="O20" s="19" t="str">
        <f>IF(OR($H20="",$H20=0),"",IF(COUNTIFS($A$5:$A$64,$A20,$B$5:$B$64,"&gt;"&amp;$B20)&gt;0,"Yes","No"))</f>
        <v/>
      </c>
      <c r="P20" s="20" t="str">
        <f>IF(AND($H20&lt;&gt;"",$H20&lt;&gt;0,NOT(OR($L20="Reforecast",$L20="Accepted"))),"YES","")</f>
        <v/>
      </c>
      <c r="Q20" s="21" t="str">
        <f>IF(OR($H20="",$H20=0),"",IF(OR($L20="Reforecast",$L20="Accepted"),"Signed off: "&amp;$L20,IF($O20="Yes","Reforecast entered — confirm sign-off","Awaiting reforecast")))</f>
        <v/>
      </c>
    </row>
    <row r="21">
      <c r="A21" s="6" t="n"/>
      <c r="B21" s="11" t="n"/>
      <c r="C21" s="12" t="str">
        <f>IF($A21="","",_xlfn._xlws.XLOOKUP($A21,'Matters Register'!$A$5:$A$44,'Matters Register'!$E$5:$E$44,"?"))</f>
        <v/>
      </c>
      <c r="D21" s="13" t="n"/>
      <c r="E21" s="14" t="str">
        <f>IF($A21="","",SUMIFS($D$5:$D$64,$A$5:$A$64,$A21,$B$5:$B$64,"&lt;="&amp;$B21))</f>
        <v/>
      </c>
      <c r="F21" s="15" t="str">
        <f>IF(OR($A21="",$C21=0,$C21="?"),"",$E21/$C21)</f>
        <v/>
      </c>
      <c r="G21" s="16" t="str">
        <f>IF($A21="","",IF(COUNTIFS('Month-End Provisions'!$A$5:$A$1004,$A21,'Month-End Provisions'!$B$5:$B$1004,$B21)=0,"",SUMIFS('Month-End Provisions'!$C$5:$C$1004,'Month-End Provisions'!$A$5:$A$1004,$A21,'Month-End Provisions'!$B$5:$B$1004,$B21)))</f>
        <v/>
      </c>
      <c r="H21" s="17" t="str">
        <f>IF(OR($G21="",$D21=""),"",$G21-$D21)</f>
        <v/>
      </c>
      <c r="I21" s="16" t="str">
        <f>IF($A21="","",SUMIFS('Month-End Provisions'!$C$5:$C$1004,'Month-End Provisions'!$A$5:$A$1004,$A21,'Month-End Provisions'!$B$5:$B$1004,"&lt;="&amp;$B21))</f>
        <v/>
      </c>
      <c r="J21" s="14" t="str">
        <f>IF(OR($A21="",$C21="?"),"",$C21-$I21)</f>
        <v/>
      </c>
      <c r="K21" s="18" t="str">
        <f>IF($A21="","",_xlfn._xlws.XLOOKUP($A21,'Matters Register'!$A$5:$A$44,'Matters Register'!$D$5:$D$44,""))</f>
        <v/>
      </c>
      <c r="L21" s="6" t="n"/>
      <c r="M21" s="6" t="n"/>
      <c r="N21" s="9" t="n"/>
      <c r="O21" s="19" t="str">
        <f>IF(OR($H21="",$H21=0),"",IF(COUNTIFS($A$5:$A$64,$A21,$B$5:$B$64,"&gt;"&amp;$B21)&gt;0,"Yes","No"))</f>
        <v/>
      </c>
      <c r="P21" s="20" t="str">
        <f>IF(AND($H21&lt;&gt;"",$H21&lt;&gt;0,NOT(OR($L21="Reforecast",$L21="Accepted"))),"YES","")</f>
        <v/>
      </c>
      <c r="Q21" s="21" t="str">
        <f>IF(OR($H21="",$H21=0),"",IF(OR($L21="Reforecast",$L21="Accepted"),"Signed off: "&amp;$L21,IF($O21="Yes","Reforecast entered — confirm sign-off","Awaiting reforecast")))</f>
        <v/>
      </c>
    </row>
    <row r="22">
      <c r="A22" s="6" t="n"/>
      <c r="B22" s="11" t="n"/>
      <c r="C22" s="12" t="str">
        <f>IF($A22="","",_xlfn._xlws.XLOOKUP($A22,'Matters Register'!$A$5:$A$44,'Matters Register'!$E$5:$E$44,"?"))</f>
        <v/>
      </c>
      <c r="D22" s="13" t="n"/>
      <c r="E22" s="14" t="str">
        <f>IF($A22="","",SUMIFS($D$5:$D$64,$A$5:$A$64,$A22,$B$5:$B$64,"&lt;="&amp;$B22))</f>
        <v/>
      </c>
      <c r="F22" s="15" t="str">
        <f>IF(OR($A22="",$C22=0,$C22="?"),"",$E22/$C22)</f>
        <v/>
      </c>
      <c r="G22" s="16" t="str">
        <f>IF($A22="","",IF(COUNTIFS('Month-End Provisions'!$A$5:$A$1004,$A22,'Month-End Provisions'!$B$5:$B$1004,$B22)=0,"",SUMIFS('Month-End Provisions'!$C$5:$C$1004,'Month-End Provisions'!$A$5:$A$1004,$A22,'Month-End Provisions'!$B$5:$B$1004,$B22)))</f>
        <v/>
      </c>
      <c r="H22" s="17" t="str">
        <f>IF(OR($G22="",$D22=""),"",$G22-$D22)</f>
        <v/>
      </c>
      <c r="I22" s="16" t="str">
        <f>IF($A22="","",SUMIFS('Month-End Provisions'!$C$5:$C$1004,'Month-End Provisions'!$A$5:$A$1004,$A22,'Month-End Provisions'!$B$5:$B$1004,"&lt;="&amp;$B22))</f>
        <v/>
      </c>
      <c r="J22" s="14" t="str">
        <f>IF(OR($A22="",$C22="?"),"",$C22-$I22)</f>
        <v/>
      </c>
      <c r="K22" s="18" t="str">
        <f>IF($A22="","",_xlfn._xlws.XLOOKUP($A22,'Matters Register'!$A$5:$A$44,'Matters Register'!$D$5:$D$44,""))</f>
        <v/>
      </c>
      <c r="L22" s="6" t="n"/>
      <c r="M22" s="6" t="n"/>
      <c r="N22" s="9" t="n"/>
      <c r="O22" s="19" t="str">
        <f>IF(OR($H22="",$H22=0),"",IF(COUNTIFS($A$5:$A$64,$A22,$B$5:$B$64,"&gt;"&amp;$B22)&gt;0,"Yes","No"))</f>
        <v/>
      </c>
      <c r="P22" s="20" t="str">
        <f>IF(AND($H22&lt;&gt;"",$H22&lt;&gt;0,NOT(OR($L22="Reforecast",$L22="Accepted"))),"YES","")</f>
        <v/>
      </c>
      <c r="Q22" s="21" t="str">
        <f>IF(OR($H22="",$H22=0),"",IF(OR($L22="Reforecast",$L22="Accepted"),"Signed off: "&amp;$L22,IF($O22="Yes","Reforecast entered — confirm sign-off","Awaiting reforecast")))</f>
        <v/>
      </c>
    </row>
    <row r="23">
      <c r="A23" s="6" t="n"/>
      <c r="B23" s="11" t="n"/>
      <c r="C23" s="12" t="str">
        <f>IF($A23="","",_xlfn._xlws.XLOOKUP($A23,'Matters Register'!$A$5:$A$44,'Matters Register'!$E$5:$E$44,"?"))</f>
        <v/>
      </c>
      <c r="D23" s="13" t="n"/>
      <c r="E23" s="14" t="str">
        <f>IF($A23="","",SUMIFS($D$5:$D$64,$A$5:$A$64,$A23,$B$5:$B$64,"&lt;="&amp;$B23))</f>
        <v/>
      </c>
      <c r="F23" s="15" t="str">
        <f>IF(OR($A23="",$C23=0,$C23="?"),"",$E23/$C23)</f>
        <v/>
      </c>
      <c r="G23" s="16" t="str">
        <f>IF($A23="","",IF(COUNTIFS('Month-End Provisions'!$A$5:$A$1004,$A23,'Month-End Provisions'!$B$5:$B$1004,$B23)=0,"",SUMIFS('Month-End Provisions'!$C$5:$C$1004,'Month-End Provisions'!$A$5:$A$1004,$A23,'Month-End Provisions'!$B$5:$B$1004,$B23)))</f>
        <v/>
      </c>
      <c r="H23" s="17" t="str">
        <f>IF(OR($G23="",$D23=""),"",$G23-$D23)</f>
        <v/>
      </c>
      <c r="I23" s="16" t="str">
        <f>IF($A23="","",SUMIFS('Month-End Provisions'!$C$5:$C$1004,'Month-End Provisions'!$A$5:$A$1004,$A23,'Month-End Provisions'!$B$5:$B$1004,"&lt;="&amp;$B23))</f>
        <v/>
      </c>
      <c r="J23" s="14" t="str">
        <f>IF(OR($A23="",$C23="?"),"",$C23-$I23)</f>
        <v/>
      </c>
      <c r="K23" s="18" t="str">
        <f>IF($A23="","",_xlfn._xlws.XLOOKUP($A23,'Matters Register'!$A$5:$A$44,'Matters Register'!$D$5:$D$44,""))</f>
        <v/>
      </c>
      <c r="L23" s="6" t="n"/>
      <c r="M23" s="6" t="n"/>
      <c r="N23" s="9" t="n"/>
      <c r="O23" s="19" t="str">
        <f>IF(OR($H23="",$H23=0),"",IF(COUNTIFS($A$5:$A$64,$A23,$B$5:$B$64,"&gt;"&amp;$B23)&gt;0,"Yes","No"))</f>
        <v/>
      </c>
      <c r="P23" s="20" t="str">
        <f>IF(AND($H23&lt;&gt;"",$H23&lt;&gt;0,NOT(OR($L23="Reforecast",$L23="Accepted"))),"YES","")</f>
        <v/>
      </c>
      <c r="Q23" s="21" t="str">
        <f>IF(OR($H23="",$H23=0),"",IF(OR($L23="Reforecast",$L23="Accepted"),"Signed off: "&amp;$L23,IF($O23="Yes","Reforecast entered — confirm sign-off","Awaiting reforecast")))</f>
        <v/>
      </c>
    </row>
    <row r="24">
      <c r="A24" s="6" t="n"/>
      <c r="B24" s="11" t="n"/>
      <c r="C24" s="12" t="str">
        <f>IF($A24="","",_xlfn._xlws.XLOOKUP($A24,'Matters Register'!$A$5:$A$44,'Matters Register'!$E$5:$E$44,"?"))</f>
        <v/>
      </c>
      <c r="D24" s="13" t="n"/>
      <c r="E24" s="14" t="str">
        <f>IF($A24="","",SUMIFS($D$5:$D$64,$A$5:$A$64,$A24,$B$5:$B$64,"&lt;="&amp;$B24))</f>
        <v/>
      </c>
      <c r="F24" s="15" t="str">
        <f>IF(OR($A24="",$C24=0,$C24="?"),"",$E24/$C24)</f>
        <v/>
      </c>
      <c r="G24" s="16" t="str">
        <f>IF($A24="","",IF(COUNTIFS('Month-End Provisions'!$A$5:$A$1004,$A24,'Month-End Provisions'!$B$5:$B$1004,$B24)=0,"",SUMIFS('Month-End Provisions'!$C$5:$C$1004,'Month-End Provisions'!$A$5:$A$1004,$A24,'Month-End Provisions'!$B$5:$B$1004,$B24)))</f>
        <v/>
      </c>
      <c r="H24" s="17" t="str">
        <f>IF(OR($G24="",$D24=""),"",$G24-$D24)</f>
        <v/>
      </c>
      <c r="I24" s="16" t="str">
        <f>IF($A24="","",SUMIFS('Month-End Provisions'!$C$5:$C$1004,'Month-End Provisions'!$A$5:$A$1004,$A24,'Month-End Provisions'!$B$5:$B$1004,"&lt;="&amp;$B24))</f>
        <v/>
      </c>
      <c r="J24" s="14" t="str">
        <f>IF(OR($A24="",$C24="?"),"",$C24-$I24)</f>
        <v/>
      </c>
      <c r="K24" s="18" t="str">
        <f>IF($A24="","",_xlfn._xlws.XLOOKUP($A24,'Matters Register'!$A$5:$A$44,'Matters Register'!$D$5:$D$44,""))</f>
        <v/>
      </c>
      <c r="L24" s="6" t="n"/>
      <c r="M24" s="6" t="n"/>
      <c r="N24" s="9" t="n"/>
      <c r="O24" s="19" t="str">
        <f>IF(OR($H24="",$H24=0),"",IF(COUNTIFS($A$5:$A$64,$A24,$B$5:$B$64,"&gt;"&amp;$B24)&gt;0,"Yes","No"))</f>
        <v/>
      </c>
      <c r="P24" s="20" t="str">
        <f>IF(AND($H24&lt;&gt;"",$H24&lt;&gt;0,NOT(OR($L24="Reforecast",$L24="Accepted"))),"YES","")</f>
        <v/>
      </c>
      <c r="Q24" s="21" t="str">
        <f>IF(OR($H24="",$H24=0),"",IF(OR($L24="Reforecast",$L24="Accepted"),"Signed off: "&amp;$L24,IF($O24="Yes","Reforecast entered — confirm sign-off","Awaiting reforecast")))</f>
        <v/>
      </c>
    </row>
    <row r="25">
      <c r="A25" s="6" t="n"/>
      <c r="B25" s="11" t="n"/>
      <c r="C25" s="12" t="str">
        <f>IF($A25="","",_xlfn._xlws.XLOOKUP($A25,'Matters Register'!$A$5:$A$44,'Matters Register'!$E$5:$E$44,"?"))</f>
        <v/>
      </c>
      <c r="D25" s="13" t="n"/>
      <c r="E25" s="14" t="str">
        <f>IF($A25="","",SUMIFS($D$5:$D$64,$A$5:$A$64,$A25,$B$5:$B$64,"&lt;="&amp;$B25))</f>
        <v/>
      </c>
      <c r="F25" s="15" t="str">
        <f>IF(OR($A25="",$C25=0,$C25="?"),"",$E25/$C25)</f>
        <v/>
      </c>
      <c r="G25" s="16" t="str">
        <f>IF($A25="","",IF(COUNTIFS('Month-End Provisions'!$A$5:$A$1004,$A25,'Month-End Provisions'!$B$5:$B$1004,$B25)=0,"",SUMIFS('Month-End Provisions'!$C$5:$C$1004,'Month-End Provisions'!$A$5:$A$1004,$A25,'Month-End Provisions'!$B$5:$B$1004,$B25)))</f>
        <v/>
      </c>
      <c r="H25" s="17" t="str">
        <f>IF(OR($G25="",$D25=""),"",$G25-$D25)</f>
        <v/>
      </c>
      <c r="I25" s="16" t="str">
        <f>IF($A25="","",SUMIFS('Month-End Provisions'!$C$5:$C$1004,'Month-End Provisions'!$A$5:$A$1004,$A25,'Month-End Provisions'!$B$5:$B$1004,"&lt;="&amp;$B25))</f>
        <v/>
      </c>
      <c r="J25" s="14" t="str">
        <f>IF(OR($A25="",$C25="?"),"",$C25-$I25)</f>
        <v/>
      </c>
      <c r="K25" s="18" t="str">
        <f>IF($A25="","",_xlfn._xlws.XLOOKUP($A25,'Matters Register'!$A$5:$A$44,'Matters Register'!$D$5:$D$44,""))</f>
        <v/>
      </c>
      <c r="L25" s="6" t="n"/>
      <c r="M25" s="6" t="n"/>
      <c r="N25" s="9" t="n"/>
      <c r="O25" s="19" t="str">
        <f>IF(OR($H25="",$H25=0),"",IF(COUNTIFS($A$5:$A$64,$A25,$B$5:$B$64,"&gt;"&amp;$B25)&gt;0,"Yes","No"))</f>
        <v/>
      </c>
      <c r="P25" s="20" t="str">
        <f>IF(AND($H25&lt;&gt;"",$H25&lt;&gt;0,NOT(OR($L25="Reforecast",$L25="Accepted"))),"YES","")</f>
        <v/>
      </c>
      <c r="Q25" s="21" t="str">
        <f>IF(OR($H25="",$H25=0),"",IF(OR($L25="Reforecast",$L25="Accepted"),"Signed off: "&amp;$L25,IF($O25="Yes","Reforecast entered — confirm sign-off","Awaiting reforecast")))</f>
        <v/>
      </c>
    </row>
    <row r="26">
      <c r="A26" s="6" t="n"/>
      <c r="B26" s="11" t="n"/>
      <c r="C26" s="12" t="str">
        <f>IF($A26="","",_xlfn._xlws.XLOOKUP($A26,'Matters Register'!$A$5:$A$44,'Matters Register'!$E$5:$E$44,"?"))</f>
        <v/>
      </c>
      <c r="D26" s="13" t="n"/>
      <c r="E26" s="14" t="str">
        <f>IF($A26="","",SUMIFS($D$5:$D$64,$A$5:$A$64,$A26,$B$5:$B$64,"&lt;="&amp;$B26))</f>
        <v/>
      </c>
      <c r="F26" s="15" t="str">
        <f>IF(OR($A26="",$C26=0,$C26="?"),"",$E26/$C26)</f>
        <v/>
      </c>
      <c r="G26" s="16" t="str">
        <f>IF($A26="","",IF(COUNTIFS('Month-End Provisions'!$A$5:$A$1004,$A26,'Month-End Provisions'!$B$5:$B$1004,$B26)=0,"",SUMIFS('Month-End Provisions'!$C$5:$C$1004,'Month-End Provisions'!$A$5:$A$1004,$A26,'Month-End Provisions'!$B$5:$B$1004,$B26)))</f>
        <v/>
      </c>
      <c r="H26" s="17" t="str">
        <f>IF(OR($G26="",$D26=""),"",$G26-$D26)</f>
        <v/>
      </c>
      <c r="I26" s="16" t="str">
        <f>IF($A26="","",SUMIFS('Month-End Provisions'!$C$5:$C$1004,'Month-End Provisions'!$A$5:$A$1004,$A26,'Month-End Provisions'!$B$5:$B$1004,"&lt;="&amp;$B26))</f>
        <v/>
      </c>
      <c r="J26" s="14" t="str">
        <f>IF(OR($A26="",$C26="?"),"",$C26-$I26)</f>
        <v/>
      </c>
      <c r="K26" s="18" t="str">
        <f>IF($A26="","",_xlfn._xlws.XLOOKUP($A26,'Matters Register'!$A$5:$A$44,'Matters Register'!$D$5:$D$44,""))</f>
        <v/>
      </c>
      <c r="L26" s="6" t="n"/>
      <c r="M26" s="6" t="n"/>
      <c r="N26" s="9" t="n"/>
      <c r="O26" s="19" t="str">
        <f>IF(OR($H26="",$H26=0),"",IF(COUNTIFS($A$5:$A$64,$A26,$B$5:$B$64,"&gt;"&amp;$B26)&gt;0,"Yes","No"))</f>
        <v/>
      </c>
      <c r="P26" s="20" t="str">
        <f>IF(AND($H26&lt;&gt;"",$H26&lt;&gt;0,NOT(OR($L26="Reforecast",$L26="Accepted"))),"YES","")</f>
        <v/>
      </c>
      <c r="Q26" s="21" t="str">
        <f>IF(OR($H26="",$H26=0),"",IF(OR($L26="Reforecast",$L26="Accepted"),"Signed off: "&amp;$L26,IF($O26="Yes","Reforecast entered — confirm sign-off","Awaiting reforecast")))</f>
        <v/>
      </c>
    </row>
    <row r="27">
      <c r="A27" s="6" t="n"/>
      <c r="B27" s="11" t="n"/>
      <c r="C27" s="12" t="str">
        <f>IF($A27="","",_xlfn._xlws.XLOOKUP($A27,'Matters Register'!$A$5:$A$44,'Matters Register'!$E$5:$E$44,"?"))</f>
        <v/>
      </c>
      <c r="D27" s="13" t="n"/>
      <c r="E27" s="14" t="str">
        <f>IF($A27="","",SUMIFS($D$5:$D$64,$A$5:$A$64,$A27,$B$5:$B$64,"&lt;="&amp;$B27))</f>
        <v/>
      </c>
      <c r="F27" s="15" t="str">
        <f>IF(OR($A27="",$C27=0,$C27="?"),"",$E27/$C27)</f>
        <v/>
      </c>
      <c r="G27" s="16" t="str">
        <f>IF($A27="","",IF(COUNTIFS('Month-End Provisions'!$A$5:$A$1004,$A27,'Month-End Provisions'!$B$5:$B$1004,$B27)=0,"",SUMIFS('Month-End Provisions'!$C$5:$C$1004,'Month-End Provisions'!$A$5:$A$1004,$A27,'Month-End Provisions'!$B$5:$B$1004,$B27)))</f>
        <v/>
      </c>
      <c r="H27" s="17" t="str">
        <f>IF(OR($G27="",$D27=""),"",$G27-$D27)</f>
        <v/>
      </c>
      <c r="I27" s="16" t="str">
        <f>IF($A27="","",SUMIFS('Month-End Provisions'!$C$5:$C$1004,'Month-End Provisions'!$A$5:$A$1004,$A27,'Month-End Provisions'!$B$5:$B$1004,"&lt;="&amp;$B27))</f>
        <v/>
      </c>
      <c r="J27" s="14" t="str">
        <f>IF(OR($A27="",$C27="?"),"",$C27-$I27)</f>
        <v/>
      </c>
      <c r="K27" s="18" t="str">
        <f>IF($A27="","",_xlfn._xlws.XLOOKUP($A27,'Matters Register'!$A$5:$A$44,'Matters Register'!$D$5:$D$44,""))</f>
        <v/>
      </c>
      <c r="L27" s="6" t="n"/>
      <c r="M27" s="6" t="n"/>
      <c r="N27" s="9" t="n"/>
      <c r="O27" s="19" t="str">
        <f>IF(OR($H27="",$H27=0),"",IF(COUNTIFS($A$5:$A$64,$A27,$B$5:$B$64,"&gt;"&amp;$B27)&gt;0,"Yes","No"))</f>
        <v/>
      </c>
      <c r="P27" s="20" t="str">
        <f>IF(AND($H27&lt;&gt;"",$H27&lt;&gt;0,NOT(OR($L27="Reforecast",$L27="Accepted"))),"YES","")</f>
        <v/>
      </c>
      <c r="Q27" s="21" t="str">
        <f>IF(OR($H27="",$H27=0),"",IF(OR($L27="Reforecast",$L27="Accepted"),"Signed off: "&amp;$L27,IF($O27="Yes","Reforecast entered — confirm sign-off","Awaiting reforecast")))</f>
        <v/>
      </c>
    </row>
    <row r="28">
      <c r="A28" s="6" t="n"/>
      <c r="B28" s="11" t="n"/>
      <c r="C28" s="12" t="str">
        <f>IF($A28="","",_xlfn._xlws.XLOOKUP($A28,'Matters Register'!$A$5:$A$44,'Matters Register'!$E$5:$E$44,"?"))</f>
        <v/>
      </c>
      <c r="D28" s="13" t="n"/>
      <c r="E28" s="14" t="str">
        <f>IF($A28="","",SUMIFS($D$5:$D$64,$A$5:$A$64,$A28,$B$5:$B$64,"&lt;="&amp;$B28))</f>
        <v/>
      </c>
      <c r="F28" s="15" t="str">
        <f>IF(OR($A28="",$C28=0,$C28="?"),"",$E28/$C28)</f>
        <v/>
      </c>
      <c r="G28" s="16" t="str">
        <f>IF($A28="","",IF(COUNTIFS('Month-End Provisions'!$A$5:$A$1004,$A28,'Month-End Provisions'!$B$5:$B$1004,$B28)=0,"",SUMIFS('Month-End Provisions'!$C$5:$C$1004,'Month-End Provisions'!$A$5:$A$1004,$A28,'Month-End Provisions'!$B$5:$B$1004,$B28)))</f>
        <v/>
      </c>
      <c r="H28" s="17" t="str">
        <f>IF(OR($G28="",$D28=""),"",$G28-$D28)</f>
        <v/>
      </c>
      <c r="I28" s="16" t="str">
        <f>IF($A28="","",SUMIFS('Month-End Provisions'!$C$5:$C$1004,'Month-End Provisions'!$A$5:$A$1004,$A28,'Month-End Provisions'!$B$5:$B$1004,"&lt;="&amp;$B28))</f>
        <v/>
      </c>
      <c r="J28" s="14" t="str">
        <f>IF(OR($A28="",$C28="?"),"",$C28-$I28)</f>
        <v/>
      </c>
      <c r="K28" s="18" t="str">
        <f>IF($A28="","",_xlfn._xlws.XLOOKUP($A28,'Matters Register'!$A$5:$A$44,'Matters Register'!$D$5:$D$44,""))</f>
        <v/>
      </c>
      <c r="L28" s="6" t="n"/>
      <c r="M28" s="6" t="n"/>
      <c r="N28" s="9" t="n"/>
      <c r="O28" s="19" t="str">
        <f>IF(OR($H28="",$H28=0),"",IF(COUNTIFS($A$5:$A$64,$A28,$B$5:$B$64,"&gt;"&amp;$B28)&gt;0,"Yes","No"))</f>
        <v/>
      </c>
      <c r="P28" s="20" t="str">
        <f>IF(AND($H28&lt;&gt;"",$H28&lt;&gt;0,NOT(OR($L28="Reforecast",$L28="Accepted"))),"YES","")</f>
        <v/>
      </c>
      <c r="Q28" s="21" t="str">
        <f>IF(OR($H28="",$H28=0),"",IF(OR($L28="Reforecast",$L28="Accepted"),"Signed off: "&amp;$L28,IF($O28="Yes","Reforecast entered — confirm sign-off","Awaiting reforecast")))</f>
        <v/>
      </c>
    </row>
    <row r="29">
      <c r="A29" s="6" t="n"/>
      <c r="B29" s="11" t="n"/>
      <c r="C29" s="12" t="str">
        <f>IF($A29="","",_xlfn._xlws.XLOOKUP($A29,'Matters Register'!$A$5:$A$44,'Matters Register'!$E$5:$E$44,"?"))</f>
        <v/>
      </c>
      <c r="D29" s="13" t="n"/>
      <c r="E29" s="14" t="str">
        <f>IF($A29="","",SUMIFS($D$5:$D$64,$A$5:$A$64,$A29,$B$5:$B$64,"&lt;="&amp;$B29))</f>
        <v/>
      </c>
      <c r="F29" s="15" t="str">
        <f>IF(OR($A29="",$C29=0,$C29="?"),"",$E29/$C29)</f>
        <v/>
      </c>
      <c r="G29" s="16" t="str">
        <f>IF($A29="","",IF(COUNTIFS('Month-End Provisions'!$A$5:$A$1004,$A29,'Month-End Provisions'!$B$5:$B$1004,$B29)=0,"",SUMIFS('Month-End Provisions'!$C$5:$C$1004,'Month-End Provisions'!$A$5:$A$1004,$A29,'Month-End Provisions'!$B$5:$B$1004,$B29)))</f>
        <v/>
      </c>
      <c r="H29" s="17" t="str">
        <f>IF(OR($G29="",$D29=""),"",$G29-$D29)</f>
        <v/>
      </c>
      <c r="I29" s="16" t="str">
        <f>IF($A29="","",SUMIFS('Month-End Provisions'!$C$5:$C$1004,'Month-End Provisions'!$A$5:$A$1004,$A29,'Month-End Provisions'!$B$5:$B$1004,"&lt;="&amp;$B29))</f>
        <v/>
      </c>
      <c r="J29" s="14" t="str">
        <f>IF(OR($A29="",$C29="?"),"",$C29-$I29)</f>
        <v/>
      </c>
      <c r="K29" s="18" t="str">
        <f>IF($A29="","",_xlfn._xlws.XLOOKUP($A29,'Matters Register'!$A$5:$A$44,'Matters Register'!$D$5:$D$44,""))</f>
        <v/>
      </c>
      <c r="L29" s="6" t="n"/>
      <c r="M29" s="6" t="n"/>
      <c r="N29" s="9" t="n"/>
      <c r="O29" s="19" t="str">
        <f>IF(OR($H29="",$H29=0),"",IF(COUNTIFS($A$5:$A$64,$A29,$B$5:$B$64,"&gt;"&amp;$B29)&gt;0,"Yes","No"))</f>
        <v/>
      </c>
      <c r="P29" s="20" t="str">
        <f>IF(AND($H29&lt;&gt;"",$H29&lt;&gt;0,NOT(OR($L29="Reforecast",$L29="Accepted"))),"YES","")</f>
        <v/>
      </c>
      <c r="Q29" s="21" t="str">
        <f>IF(OR($H29="",$H29=0),"",IF(OR($L29="Reforecast",$L29="Accepted"),"Signed off: "&amp;$L29,IF($O29="Yes","Reforecast entered — confirm sign-off","Awaiting reforecast")))</f>
        <v/>
      </c>
    </row>
    <row r="30">
      <c r="A30" s="6" t="n"/>
      <c r="B30" s="11" t="n"/>
      <c r="C30" s="12" t="str">
        <f>IF($A30="","",_xlfn._xlws.XLOOKUP($A30,'Matters Register'!$A$5:$A$44,'Matters Register'!$E$5:$E$44,"?"))</f>
        <v/>
      </c>
      <c r="D30" s="13" t="n"/>
      <c r="E30" s="14" t="str">
        <f>IF($A30="","",SUMIFS($D$5:$D$64,$A$5:$A$64,$A30,$B$5:$B$64,"&lt;="&amp;$B30))</f>
        <v/>
      </c>
      <c r="F30" s="15" t="str">
        <f>IF(OR($A30="",$C30=0,$C30="?"),"",$E30/$C30)</f>
        <v/>
      </c>
      <c r="G30" s="16" t="str">
        <f>IF($A30="","",IF(COUNTIFS('Month-End Provisions'!$A$5:$A$1004,$A30,'Month-End Provisions'!$B$5:$B$1004,$B30)=0,"",SUMIFS('Month-End Provisions'!$C$5:$C$1004,'Month-End Provisions'!$A$5:$A$1004,$A30,'Month-End Provisions'!$B$5:$B$1004,$B30)))</f>
        <v/>
      </c>
      <c r="H30" s="17" t="str">
        <f>IF(OR($G30="",$D30=""),"",$G30-$D30)</f>
        <v/>
      </c>
      <c r="I30" s="16" t="str">
        <f>IF($A30="","",SUMIFS('Month-End Provisions'!$C$5:$C$1004,'Month-End Provisions'!$A$5:$A$1004,$A30,'Month-End Provisions'!$B$5:$B$1004,"&lt;="&amp;$B30))</f>
        <v/>
      </c>
      <c r="J30" s="14" t="str">
        <f>IF(OR($A30="",$C30="?"),"",$C30-$I30)</f>
        <v/>
      </c>
      <c r="K30" s="18" t="str">
        <f>IF($A30="","",_xlfn._xlws.XLOOKUP($A30,'Matters Register'!$A$5:$A$44,'Matters Register'!$D$5:$D$44,""))</f>
        <v/>
      </c>
      <c r="L30" s="6" t="n"/>
      <c r="M30" s="6" t="n"/>
      <c r="N30" s="9" t="n"/>
      <c r="O30" s="19" t="str">
        <f>IF(OR($H30="",$H30=0),"",IF(COUNTIFS($A$5:$A$64,$A30,$B$5:$B$64,"&gt;"&amp;$B30)&gt;0,"Yes","No"))</f>
        <v/>
      </c>
      <c r="P30" s="20" t="str">
        <f>IF(AND($H30&lt;&gt;"",$H30&lt;&gt;0,NOT(OR($L30="Reforecast",$L30="Accepted"))),"YES","")</f>
        <v/>
      </c>
      <c r="Q30" s="21" t="str">
        <f>IF(OR($H30="",$H30=0),"",IF(OR($L30="Reforecast",$L30="Accepted"),"Signed off: "&amp;$L30,IF($O30="Yes","Reforecast entered — confirm sign-off","Awaiting reforecast")))</f>
        <v/>
      </c>
    </row>
    <row r="31">
      <c r="A31" s="6" t="n"/>
      <c r="B31" s="11" t="n"/>
      <c r="C31" s="12" t="str">
        <f>IF($A31="","",_xlfn._xlws.XLOOKUP($A31,'Matters Register'!$A$5:$A$44,'Matters Register'!$E$5:$E$44,"?"))</f>
        <v/>
      </c>
      <c r="D31" s="13" t="n"/>
      <c r="E31" s="14" t="str">
        <f>IF($A31="","",SUMIFS($D$5:$D$64,$A$5:$A$64,$A31,$B$5:$B$64,"&lt;="&amp;$B31))</f>
        <v/>
      </c>
      <c r="F31" s="15" t="str">
        <f>IF(OR($A31="",$C31=0,$C31="?"),"",$E31/$C31)</f>
        <v/>
      </c>
      <c r="G31" s="16" t="str">
        <f>IF($A31="","",IF(COUNTIFS('Month-End Provisions'!$A$5:$A$1004,$A31,'Month-End Provisions'!$B$5:$B$1004,$B31)=0,"",SUMIFS('Month-End Provisions'!$C$5:$C$1004,'Month-End Provisions'!$A$5:$A$1004,$A31,'Month-End Provisions'!$B$5:$B$1004,$B31)))</f>
        <v/>
      </c>
      <c r="H31" s="17" t="str">
        <f>IF(OR($G31="",$D31=""),"",$G31-$D31)</f>
        <v/>
      </c>
      <c r="I31" s="16" t="str">
        <f>IF($A31="","",SUMIFS('Month-End Provisions'!$C$5:$C$1004,'Month-End Provisions'!$A$5:$A$1004,$A31,'Month-End Provisions'!$B$5:$B$1004,"&lt;="&amp;$B31))</f>
        <v/>
      </c>
      <c r="J31" s="14" t="str">
        <f>IF(OR($A31="",$C31="?"),"",$C31-$I31)</f>
        <v/>
      </c>
      <c r="K31" s="18" t="str">
        <f>IF($A31="","",_xlfn._xlws.XLOOKUP($A31,'Matters Register'!$A$5:$A$44,'Matters Register'!$D$5:$D$44,""))</f>
        <v/>
      </c>
      <c r="L31" s="6" t="n"/>
      <c r="M31" s="6" t="n"/>
      <c r="N31" s="9" t="n"/>
      <c r="O31" s="19" t="str">
        <f>IF(OR($H31="",$H31=0),"",IF(COUNTIFS($A$5:$A$64,$A31,$B$5:$B$64,"&gt;"&amp;$B31)&gt;0,"Yes","No"))</f>
        <v/>
      </c>
      <c r="P31" s="20" t="str">
        <f>IF(AND($H31&lt;&gt;"",$H31&lt;&gt;0,NOT(OR($L31="Reforecast",$L31="Accepted"))),"YES","")</f>
        <v/>
      </c>
      <c r="Q31" s="21" t="str">
        <f>IF(OR($H31="",$H31=0),"",IF(OR($L31="Reforecast",$L31="Accepted"),"Signed off: "&amp;$L31,IF($O31="Yes","Reforecast entered — confirm sign-off","Awaiting reforecast")))</f>
        <v/>
      </c>
    </row>
    <row r="32">
      <c r="A32" s="6" t="n"/>
      <c r="B32" s="11" t="n"/>
      <c r="C32" s="12" t="str">
        <f>IF($A32="","",_xlfn._xlws.XLOOKUP($A32,'Matters Register'!$A$5:$A$44,'Matters Register'!$E$5:$E$44,"?"))</f>
        <v/>
      </c>
      <c r="D32" s="13" t="n"/>
      <c r="E32" s="14" t="str">
        <f>IF($A32="","",SUMIFS($D$5:$D$64,$A$5:$A$64,$A32,$B$5:$B$64,"&lt;="&amp;$B32))</f>
        <v/>
      </c>
      <c r="F32" s="15" t="str">
        <f>IF(OR($A32="",$C32=0,$C32="?"),"",$E32/$C32)</f>
        <v/>
      </c>
      <c r="G32" s="16" t="str">
        <f>IF($A32="","",IF(COUNTIFS('Month-End Provisions'!$A$5:$A$1004,$A32,'Month-End Provisions'!$B$5:$B$1004,$B32)=0,"",SUMIFS('Month-End Provisions'!$C$5:$C$1004,'Month-End Provisions'!$A$5:$A$1004,$A32,'Month-End Provisions'!$B$5:$B$1004,$B32)))</f>
        <v/>
      </c>
      <c r="H32" s="17" t="str">
        <f>IF(OR($G32="",$D32=""),"",$G32-$D32)</f>
        <v/>
      </c>
      <c r="I32" s="16" t="str">
        <f>IF($A32="","",SUMIFS('Month-End Provisions'!$C$5:$C$1004,'Month-End Provisions'!$A$5:$A$1004,$A32,'Month-End Provisions'!$B$5:$B$1004,"&lt;="&amp;$B32))</f>
        <v/>
      </c>
      <c r="J32" s="14" t="str">
        <f>IF(OR($A32="",$C32="?"),"",$C32-$I32)</f>
        <v/>
      </c>
      <c r="K32" s="18" t="str">
        <f>IF($A32="","",_xlfn._xlws.XLOOKUP($A32,'Matters Register'!$A$5:$A$44,'Matters Register'!$D$5:$D$44,""))</f>
        <v/>
      </c>
      <c r="L32" s="6" t="n"/>
      <c r="M32" s="6" t="n"/>
      <c r="N32" s="9" t="n"/>
      <c r="O32" s="19" t="str">
        <f>IF(OR($H32="",$H32=0),"",IF(COUNTIFS($A$5:$A$64,$A32,$B$5:$B$64,"&gt;"&amp;$B32)&gt;0,"Yes","No"))</f>
        <v/>
      </c>
      <c r="P32" s="20" t="str">
        <f>IF(AND($H32&lt;&gt;"",$H32&lt;&gt;0,NOT(OR($L32="Reforecast",$L32="Accepted"))),"YES","")</f>
        <v/>
      </c>
      <c r="Q32" s="21" t="str">
        <f>IF(OR($H32="",$H32=0),"",IF(OR($L32="Reforecast",$L32="Accepted"),"Signed off: "&amp;$L32,IF($O32="Yes","Reforecast entered — confirm sign-off","Awaiting reforecast")))</f>
        <v/>
      </c>
    </row>
    <row r="33">
      <c r="A33" s="6" t="n"/>
      <c r="B33" s="11" t="n"/>
      <c r="C33" s="12" t="str">
        <f>IF($A33="","",_xlfn._xlws.XLOOKUP($A33,'Matters Register'!$A$5:$A$44,'Matters Register'!$E$5:$E$44,"?"))</f>
        <v/>
      </c>
      <c r="D33" s="13" t="n"/>
      <c r="E33" s="14" t="str">
        <f>IF($A33="","",SUMIFS($D$5:$D$64,$A$5:$A$64,$A33,$B$5:$B$64,"&lt;="&amp;$B33))</f>
        <v/>
      </c>
      <c r="F33" s="15" t="str">
        <f>IF(OR($A33="",$C33=0,$C33="?"),"",$E33/$C33)</f>
        <v/>
      </c>
      <c r="G33" s="16" t="str">
        <f>IF($A33="","",IF(COUNTIFS('Month-End Provisions'!$A$5:$A$1004,$A33,'Month-End Provisions'!$B$5:$B$1004,$B33)=0,"",SUMIFS('Month-End Provisions'!$C$5:$C$1004,'Month-End Provisions'!$A$5:$A$1004,$A33,'Month-End Provisions'!$B$5:$B$1004,$B33)))</f>
        <v/>
      </c>
      <c r="H33" s="17" t="str">
        <f>IF(OR($G33="",$D33=""),"",$G33-$D33)</f>
        <v/>
      </c>
      <c r="I33" s="16" t="str">
        <f>IF($A33="","",SUMIFS('Month-End Provisions'!$C$5:$C$1004,'Month-End Provisions'!$A$5:$A$1004,$A33,'Month-End Provisions'!$B$5:$B$1004,"&lt;="&amp;$B33))</f>
        <v/>
      </c>
      <c r="J33" s="14" t="str">
        <f>IF(OR($A33="",$C33="?"),"",$C33-$I33)</f>
        <v/>
      </c>
      <c r="K33" s="18" t="str">
        <f>IF($A33="","",_xlfn._xlws.XLOOKUP($A33,'Matters Register'!$A$5:$A$44,'Matters Register'!$D$5:$D$44,""))</f>
        <v/>
      </c>
      <c r="L33" s="6" t="n"/>
      <c r="M33" s="6" t="n"/>
      <c r="N33" s="9" t="n"/>
      <c r="O33" s="19" t="str">
        <f>IF(OR($H33="",$H33=0),"",IF(COUNTIFS($A$5:$A$64,$A33,$B$5:$B$64,"&gt;"&amp;$B33)&gt;0,"Yes","No"))</f>
        <v/>
      </c>
      <c r="P33" s="20" t="str">
        <f>IF(AND($H33&lt;&gt;"",$H33&lt;&gt;0,NOT(OR($L33="Reforecast",$L33="Accepted"))),"YES","")</f>
        <v/>
      </c>
      <c r="Q33" s="21" t="str">
        <f>IF(OR($H33="",$H33=0),"",IF(OR($L33="Reforecast",$L33="Accepted"),"Signed off: "&amp;$L33,IF($O33="Yes","Reforecast entered — confirm sign-off","Awaiting reforecast")))</f>
        <v/>
      </c>
    </row>
    <row r="34">
      <c r="A34" s="6" t="n"/>
      <c r="B34" s="11" t="n"/>
      <c r="C34" s="12" t="str">
        <f>IF($A34="","",_xlfn._xlws.XLOOKUP($A34,'Matters Register'!$A$5:$A$44,'Matters Register'!$E$5:$E$44,"?"))</f>
        <v/>
      </c>
      <c r="D34" s="13" t="n"/>
      <c r="E34" s="14" t="str">
        <f>IF($A34="","",SUMIFS($D$5:$D$64,$A$5:$A$64,$A34,$B$5:$B$64,"&lt;="&amp;$B34))</f>
        <v/>
      </c>
      <c r="F34" s="15" t="str">
        <f>IF(OR($A34="",$C34=0,$C34="?"),"",$E34/$C34)</f>
        <v/>
      </c>
      <c r="G34" s="16" t="str">
        <f>IF($A34="","",IF(COUNTIFS('Month-End Provisions'!$A$5:$A$1004,$A34,'Month-End Provisions'!$B$5:$B$1004,$B34)=0,"",SUMIFS('Month-End Provisions'!$C$5:$C$1004,'Month-End Provisions'!$A$5:$A$1004,$A34,'Month-End Provisions'!$B$5:$B$1004,$B34)))</f>
        <v/>
      </c>
      <c r="H34" s="17" t="str">
        <f>IF(OR($G34="",$D34=""),"",$G34-$D34)</f>
        <v/>
      </c>
      <c r="I34" s="16" t="str">
        <f>IF($A34="","",SUMIFS('Month-End Provisions'!$C$5:$C$1004,'Month-End Provisions'!$A$5:$A$1004,$A34,'Month-End Provisions'!$B$5:$B$1004,"&lt;="&amp;$B34))</f>
        <v/>
      </c>
      <c r="J34" s="14" t="str">
        <f>IF(OR($A34="",$C34="?"),"",$C34-$I34)</f>
        <v/>
      </c>
      <c r="K34" s="18" t="str">
        <f>IF($A34="","",_xlfn._xlws.XLOOKUP($A34,'Matters Register'!$A$5:$A$44,'Matters Register'!$D$5:$D$44,""))</f>
        <v/>
      </c>
      <c r="L34" s="6" t="n"/>
      <c r="M34" s="6" t="n"/>
      <c r="N34" s="9" t="n"/>
      <c r="O34" s="19" t="str">
        <f>IF(OR($H34="",$H34=0),"",IF(COUNTIFS($A$5:$A$64,$A34,$B$5:$B$64,"&gt;"&amp;$B34)&gt;0,"Yes","No"))</f>
        <v/>
      </c>
      <c r="P34" s="20" t="str">
        <f>IF(AND($H34&lt;&gt;"",$H34&lt;&gt;0,NOT(OR($L34="Reforecast",$L34="Accepted"))),"YES","")</f>
        <v/>
      </c>
      <c r="Q34" s="21" t="str">
        <f>IF(OR($H34="",$H34=0),"",IF(OR($L34="Reforecast",$L34="Accepted"),"Signed off: "&amp;$L34,IF($O34="Yes","Reforecast entered — confirm sign-off","Awaiting reforecast")))</f>
        <v/>
      </c>
    </row>
    <row r="35">
      <c r="A35" s="6" t="n"/>
      <c r="B35" s="11" t="n"/>
      <c r="C35" s="12" t="str">
        <f>IF($A35="","",_xlfn._xlws.XLOOKUP($A35,'Matters Register'!$A$5:$A$44,'Matters Register'!$E$5:$E$44,"?"))</f>
        <v/>
      </c>
      <c r="D35" s="13" t="n"/>
      <c r="E35" s="14" t="str">
        <f>IF($A35="","",SUMIFS($D$5:$D$64,$A$5:$A$64,$A35,$B$5:$B$64,"&lt;="&amp;$B35))</f>
        <v/>
      </c>
      <c r="F35" s="15" t="str">
        <f>IF(OR($A35="",$C35=0,$C35="?"),"",$E35/$C35)</f>
        <v/>
      </c>
      <c r="G35" s="16" t="str">
        <f>IF($A35="","",IF(COUNTIFS('Month-End Provisions'!$A$5:$A$1004,$A35,'Month-End Provisions'!$B$5:$B$1004,$B35)=0,"",SUMIFS('Month-End Provisions'!$C$5:$C$1004,'Month-End Provisions'!$A$5:$A$1004,$A35,'Month-End Provisions'!$B$5:$B$1004,$B35)))</f>
        <v/>
      </c>
      <c r="H35" s="17" t="str">
        <f>IF(OR($G35="",$D35=""),"",$G35-$D35)</f>
        <v/>
      </c>
      <c r="I35" s="16" t="str">
        <f>IF($A35="","",SUMIFS('Month-End Provisions'!$C$5:$C$1004,'Month-End Provisions'!$A$5:$A$1004,$A35,'Month-End Provisions'!$B$5:$B$1004,"&lt;="&amp;$B35))</f>
        <v/>
      </c>
      <c r="J35" s="14" t="str">
        <f>IF(OR($A35="",$C35="?"),"",$C35-$I35)</f>
        <v/>
      </c>
      <c r="K35" s="18" t="str">
        <f>IF($A35="","",_xlfn._xlws.XLOOKUP($A35,'Matters Register'!$A$5:$A$44,'Matters Register'!$D$5:$D$44,""))</f>
        <v/>
      </c>
      <c r="L35" s="6" t="n"/>
      <c r="M35" s="6" t="n"/>
      <c r="N35" s="9" t="n"/>
      <c r="O35" s="19" t="str">
        <f>IF(OR($H35="",$H35=0),"",IF(COUNTIFS($A$5:$A$64,$A35,$B$5:$B$64,"&gt;"&amp;$B35)&gt;0,"Yes","No"))</f>
        <v/>
      </c>
      <c r="P35" s="20" t="str">
        <f>IF(AND($H35&lt;&gt;"",$H35&lt;&gt;0,NOT(OR($L35="Reforecast",$L35="Accepted"))),"YES","")</f>
        <v/>
      </c>
      <c r="Q35" s="21" t="str">
        <f>IF(OR($H35="",$H35=0),"",IF(OR($L35="Reforecast",$L35="Accepted"),"Signed off: "&amp;$L35,IF($O35="Yes","Reforecast entered — confirm sign-off","Awaiting reforecast")))</f>
        <v/>
      </c>
    </row>
    <row r="36">
      <c r="A36" s="6" t="n"/>
      <c r="B36" s="11" t="n"/>
      <c r="C36" s="12" t="str">
        <f>IF($A36="","",_xlfn._xlws.XLOOKUP($A36,'Matters Register'!$A$5:$A$44,'Matters Register'!$E$5:$E$44,"?"))</f>
        <v/>
      </c>
      <c r="D36" s="13" t="n"/>
      <c r="E36" s="14" t="str">
        <f>IF($A36="","",SUMIFS($D$5:$D$64,$A$5:$A$64,$A36,$B$5:$B$64,"&lt;="&amp;$B36))</f>
        <v/>
      </c>
      <c r="F36" s="15" t="str">
        <f>IF(OR($A36="",$C36=0,$C36="?"),"",$E36/$C36)</f>
        <v/>
      </c>
      <c r="G36" s="16" t="str">
        <f>IF($A36="","",IF(COUNTIFS('Month-End Provisions'!$A$5:$A$1004,$A36,'Month-End Provisions'!$B$5:$B$1004,$B36)=0,"",SUMIFS('Month-End Provisions'!$C$5:$C$1004,'Month-End Provisions'!$A$5:$A$1004,$A36,'Month-End Provisions'!$B$5:$B$1004,$B36)))</f>
        <v/>
      </c>
      <c r="H36" s="17" t="str">
        <f>IF(OR($G36="",$D36=""),"",$G36-$D36)</f>
        <v/>
      </c>
      <c r="I36" s="16" t="str">
        <f>IF($A36="","",SUMIFS('Month-End Provisions'!$C$5:$C$1004,'Month-End Provisions'!$A$5:$A$1004,$A36,'Month-End Provisions'!$B$5:$B$1004,"&lt;="&amp;$B36))</f>
        <v/>
      </c>
      <c r="J36" s="14" t="str">
        <f>IF(OR($A36="",$C36="?"),"",$C36-$I36)</f>
        <v/>
      </c>
      <c r="K36" s="18" t="str">
        <f>IF($A36="","",_xlfn._xlws.XLOOKUP($A36,'Matters Register'!$A$5:$A$44,'Matters Register'!$D$5:$D$44,""))</f>
        <v/>
      </c>
      <c r="L36" s="6" t="n"/>
      <c r="M36" s="6" t="n"/>
      <c r="N36" s="9" t="n"/>
      <c r="O36" s="19" t="str">
        <f>IF(OR($H36="",$H36=0),"",IF(COUNTIFS($A$5:$A$64,$A36,$B$5:$B$64,"&gt;"&amp;$B36)&gt;0,"Yes","No"))</f>
        <v/>
      </c>
      <c r="P36" s="20" t="str">
        <f>IF(AND($H36&lt;&gt;"",$H36&lt;&gt;0,NOT(OR($L36="Reforecast",$L36="Accepted"))),"YES","")</f>
        <v/>
      </c>
      <c r="Q36" s="21" t="str">
        <f>IF(OR($H36="",$H36=0),"",IF(OR($L36="Reforecast",$L36="Accepted"),"Signed off: "&amp;$L36,IF($O36="Yes","Reforecast entered — confirm sign-off","Awaiting reforecast")))</f>
        <v/>
      </c>
    </row>
    <row r="37">
      <c r="A37" s="6" t="n"/>
      <c r="B37" s="11" t="n"/>
      <c r="C37" s="12" t="str">
        <f>IF($A37="","",_xlfn._xlws.XLOOKUP($A37,'Matters Register'!$A$5:$A$44,'Matters Register'!$E$5:$E$44,"?"))</f>
        <v/>
      </c>
      <c r="D37" s="13" t="n"/>
      <c r="E37" s="14" t="str">
        <f>IF($A37="","",SUMIFS($D$5:$D$64,$A$5:$A$64,$A37,$B$5:$B$64,"&lt;="&amp;$B37))</f>
        <v/>
      </c>
      <c r="F37" s="15" t="str">
        <f>IF(OR($A37="",$C37=0,$C37="?"),"",$E37/$C37)</f>
        <v/>
      </c>
      <c r="G37" s="16" t="str">
        <f>IF($A37="","",IF(COUNTIFS('Month-End Provisions'!$A$5:$A$1004,$A37,'Month-End Provisions'!$B$5:$B$1004,$B37)=0,"",SUMIFS('Month-End Provisions'!$C$5:$C$1004,'Month-End Provisions'!$A$5:$A$1004,$A37,'Month-End Provisions'!$B$5:$B$1004,$B37)))</f>
        <v/>
      </c>
      <c r="H37" s="17" t="str">
        <f>IF(OR($G37="",$D37=""),"",$G37-$D37)</f>
        <v/>
      </c>
      <c r="I37" s="16" t="str">
        <f>IF($A37="","",SUMIFS('Month-End Provisions'!$C$5:$C$1004,'Month-End Provisions'!$A$5:$A$1004,$A37,'Month-End Provisions'!$B$5:$B$1004,"&lt;="&amp;$B37))</f>
        <v/>
      </c>
      <c r="J37" s="14" t="str">
        <f>IF(OR($A37="",$C37="?"),"",$C37-$I37)</f>
        <v/>
      </c>
      <c r="K37" s="18" t="str">
        <f>IF($A37="","",_xlfn._xlws.XLOOKUP($A37,'Matters Register'!$A$5:$A$44,'Matters Register'!$D$5:$D$44,""))</f>
        <v/>
      </c>
      <c r="L37" s="6" t="n"/>
      <c r="M37" s="6" t="n"/>
      <c r="N37" s="9" t="n"/>
      <c r="O37" s="19" t="str">
        <f>IF(OR($H37="",$H37=0),"",IF(COUNTIFS($A$5:$A$64,$A37,$B$5:$B$64,"&gt;"&amp;$B37)&gt;0,"Yes","No"))</f>
        <v/>
      </c>
      <c r="P37" s="20" t="str">
        <f>IF(AND($H37&lt;&gt;"",$H37&lt;&gt;0,NOT(OR($L37="Reforecast",$L37="Accepted"))),"YES","")</f>
        <v/>
      </c>
      <c r="Q37" s="21" t="str">
        <f>IF(OR($H37="",$H37=0),"",IF(OR($L37="Reforecast",$L37="Accepted"),"Signed off: "&amp;$L37,IF($O37="Yes","Reforecast entered — confirm sign-off","Awaiting reforecast")))</f>
        <v/>
      </c>
    </row>
    <row r="38">
      <c r="A38" s="6" t="n"/>
      <c r="B38" s="11" t="n"/>
      <c r="C38" s="12" t="str">
        <f>IF($A38="","",_xlfn._xlws.XLOOKUP($A38,'Matters Register'!$A$5:$A$44,'Matters Register'!$E$5:$E$44,"?"))</f>
        <v/>
      </c>
      <c r="D38" s="13" t="n"/>
      <c r="E38" s="14" t="str">
        <f>IF($A38="","",SUMIFS($D$5:$D$64,$A$5:$A$64,$A38,$B$5:$B$64,"&lt;="&amp;$B38))</f>
        <v/>
      </c>
      <c r="F38" s="15" t="str">
        <f>IF(OR($A38="",$C38=0,$C38="?"),"",$E38/$C38)</f>
        <v/>
      </c>
      <c r="G38" s="16" t="str">
        <f>IF($A38="","",IF(COUNTIFS('Month-End Provisions'!$A$5:$A$1004,$A38,'Month-End Provisions'!$B$5:$B$1004,$B38)=0,"",SUMIFS('Month-End Provisions'!$C$5:$C$1004,'Month-End Provisions'!$A$5:$A$1004,$A38,'Month-End Provisions'!$B$5:$B$1004,$B38)))</f>
        <v/>
      </c>
      <c r="H38" s="17" t="str">
        <f>IF(OR($G38="",$D38=""),"",$G38-$D38)</f>
        <v/>
      </c>
      <c r="I38" s="16" t="str">
        <f>IF($A38="","",SUMIFS('Month-End Provisions'!$C$5:$C$1004,'Month-End Provisions'!$A$5:$A$1004,$A38,'Month-End Provisions'!$B$5:$B$1004,"&lt;="&amp;$B38))</f>
        <v/>
      </c>
      <c r="J38" s="14" t="str">
        <f>IF(OR($A38="",$C38="?"),"",$C38-$I38)</f>
        <v/>
      </c>
      <c r="K38" s="18" t="str">
        <f>IF($A38="","",_xlfn._xlws.XLOOKUP($A38,'Matters Register'!$A$5:$A$44,'Matters Register'!$D$5:$D$44,""))</f>
        <v/>
      </c>
      <c r="L38" s="6" t="n"/>
      <c r="M38" s="6" t="n"/>
      <c r="N38" s="9" t="n"/>
      <c r="O38" s="19" t="str">
        <f>IF(OR($H38="",$H38=0),"",IF(COUNTIFS($A$5:$A$64,$A38,$B$5:$B$64,"&gt;"&amp;$B38)&gt;0,"Yes","No"))</f>
        <v/>
      </c>
      <c r="P38" s="20" t="str">
        <f>IF(AND($H38&lt;&gt;"",$H38&lt;&gt;0,NOT(OR($L38="Reforecast",$L38="Accepted"))),"YES","")</f>
        <v/>
      </c>
      <c r="Q38" s="21" t="str">
        <f>IF(OR($H38="",$H38=0),"",IF(OR($L38="Reforecast",$L38="Accepted"),"Signed off: "&amp;$L38,IF($O38="Yes","Reforecast entered — confirm sign-off","Awaiting reforecast")))</f>
        <v/>
      </c>
    </row>
    <row r="39">
      <c r="A39" s="6" t="n"/>
      <c r="B39" s="11" t="n"/>
      <c r="C39" s="12" t="str">
        <f>IF($A39="","",_xlfn._xlws.XLOOKUP($A39,'Matters Register'!$A$5:$A$44,'Matters Register'!$E$5:$E$44,"?"))</f>
        <v/>
      </c>
      <c r="D39" s="13" t="n"/>
      <c r="E39" s="14" t="str">
        <f>IF($A39="","",SUMIFS($D$5:$D$64,$A$5:$A$64,$A39,$B$5:$B$64,"&lt;="&amp;$B39))</f>
        <v/>
      </c>
      <c r="F39" s="15" t="str">
        <f>IF(OR($A39="",$C39=0,$C39="?"),"",$E39/$C39)</f>
        <v/>
      </c>
      <c r="G39" s="16" t="str">
        <f>IF($A39="","",IF(COUNTIFS('Month-End Provisions'!$A$5:$A$1004,$A39,'Month-End Provisions'!$B$5:$B$1004,$B39)=0,"",SUMIFS('Month-End Provisions'!$C$5:$C$1004,'Month-End Provisions'!$A$5:$A$1004,$A39,'Month-End Provisions'!$B$5:$B$1004,$B39)))</f>
        <v/>
      </c>
      <c r="H39" s="17" t="str">
        <f>IF(OR($G39="",$D39=""),"",$G39-$D39)</f>
        <v/>
      </c>
      <c r="I39" s="16" t="str">
        <f>IF($A39="","",SUMIFS('Month-End Provisions'!$C$5:$C$1004,'Month-End Provisions'!$A$5:$A$1004,$A39,'Month-End Provisions'!$B$5:$B$1004,"&lt;="&amp;$B39))</f>
        <v/>
      </c>
      <c r="J39" s="14" t="str">
        <f>IF(OR($A39="",$C39="?"),"",$C39-$I39)</f>
        <v/>
      </c>
      <c r="K39" s="18" t="str">
        <f>IF($A39="","",_xlfn._xlws.XLOOKUP($A39,'Matters Register'!$A$5:$A$44,'Matters Register'!$D$5:$D$44,""))</f>
        <v/>
      </c>
      <c r="L39" s="6" t="n"/>
      <c r="M39" s="6" t="n"/>
      <c r="N39" s="9" t="n"/>
      <c r="O39" s="19" t="str">
        <f>IF(OR($H39="",$H39=0),"",IF(COUNTIFS($A$5:$A$64,$A39,$B$5:$B$64,"&gt;"&amp;$B39)&gt;0,"Yes","No"))</f>
        <v/>
      </c>
      <c r="P39" s="20" t="str">
        <f>IF(AND($H39&lt;&gt;"",$H39&lt;&gt;0,NOT(OR($L39="Reforecast",$L39="Accepted"))),"YES","")</f>
        <v/>
      </c>
      <c r="Q39" s="21" t="str">
        <f>IF(OR($H39="",$H39=0),"",IF(OR($L39="Reforecast",$L39="Accepted"),"Signed off: "&amp;$L39,IF($O39="Yes","Reforecast entered — confirm sign-off","Awaiting reforecast")))</f>
        <v/>
      </c>
    </row>
    <row r="40">
      <c r="A40" s="6" t="n"/>
      <c r="B40" s="11" t="n"/>
      <c r="C40" s="12" t="str">
        <f>IF($A40="","",_xlfn._xlws.XLOOKUP($A40,'Matters Register'!$A$5:$A$44,'Matters Register'!$E$5:$E$44,"?"))</f>
        <v/>
      </c>
      <c r="D40" s="13" t="n"/>
      <c r="E40" s="14" t="str">
        <f>IF($A40="","",SUMIFS($D$5:$D$64,$A$5:$A$64,$A40,$B$5:$B$64,"&lt;="&amp;$B40))</f>
        <v/>
      </c>
      <c r="F40" s="15" t="str">
        <f>IF(OR($A40="",$C40=0,$C40="?"),"",$E40/$C40)</f>
        <v/>
      </c>
      <c r="G40" s="16" t="str">
        <f>IF($A40="","",IF(COUNTIFS('Month-End Provisions'!$A$5:$A$1004,$A40,'Month-End Provisions'!$B$5:$B$1004,$B40)=0,"",SUMIFS('Month-End Provisions'!$C$5:$C$1004,'Month-End Provisions'!$A$5:$A$1004,$A40,'Month-End Provisions'!$B$5:$B$1004,$B40)))</f>
        <v/>
      </c>
      <c r="H40" s="17" t="str">
        <f>IF(OR($G40="",$D40=""),"",$G40-$D40)</f>
        <v/>
      </c>
      <c r="I40" s="16" t="str">
        <f>IF($A40="","",SUMIFS('Month-End Provisions'!$C$5:$C$1004,'Month-End Provisions'!$A$5:$A$1004,$A40,'Month-End Provisions'!$B$5:$B$1004,"&lt;="&amp;$B40))</f>
        <v/>
      </c>
      <c r="J40" s="14" t="str">
        <f>IF(OR($A40="",$C40="?"),"",$C40-$I40)</f>
        <v/>
      </c>
      <c r="K40" s="18" t="str">
        <f>IF($A40="","",_xlfn._xlws.XLOOKUP($A40,'Matters Register'!$A$5:$A$44,'Matters Register'!$D$5:$D$44,""))</f>
        <v/>
      </c>
      <c r="L40" s="6" t="n"/>
      <c r="M40" s="6" t="n"/>
      <c r="N40" s="9" t="n"/>
      <c r="O40" s="19" t="str">
        <f>IF(OR($H40="",$H40=0),"",IF(COUNTIFS($A$5:$A$64,$A40,$B$5:$B$64,"&gt;"&amp;$B40)&gt;0,"Yes","No"))</f>
        <v/>
      </c>
      <c r="P40" s="20" t="str">
        <f>IF(AND($H40&lt;&gt;"",$H40&lt;&gt;0,NOT(OR($L40="Reforecast",$L40="Accepted"))),"YES","")</f>
        <v/>
      </c>
      <c r="Q40" s="21" t="str">
        <f>IF(OR($H40="",$H40=0),"",IF(OR($L40="Reforecast",$L40="Accepted"),"Signed off: "&amp;$L40,IF($O40="Yes","Reforecast entered — confirm sign-off","Awaiting reforecast")))</f>
        <v/>
      </c>
    </row>
    <row r="41">
      <c r="A41" s="6" t="n"/>
      <c r="B41" s="11" t="n"/>
      <c r="C41" s="12" t="str">
        <f>IF($A41="","",_xlfn._xlws.XLOOKUP($A41,'Matters Register'!$A$5:$A$44,'Matters Register'!$E$5:$E$44,"?"))</f>
        <v/>
      </c>
      <c r="D41" s="13" t="n"/>
      <c r="E41" s="14" t="str">
        <f>IF($A41="","",SUMIFS($D$5:$D$64,$A$5:$A$64,$A41,$B$5:$B$64,"&lt;="&amp;$B41))</f>
        <v/>
      </c>
      <c r="F41" s="15" t="str">
        <f>IF(OR($A41="",$C41=0,$C41="?"),"",$E41/$C41)</f>
        <v/>
      </c>
      <c r="G41" s="16" t="str">
        <f>IF($A41="","",IF(COUNTIFS('Month-End Provisions'!$A$5:$A$1004,$A41,'Month-End Provisions'!$B$5:$B$1004,$B41)=0,"",SUMIFS('Month-End Provisions'!$C$5:$C$1004,'Month-End Provisions'!$A$5:$A$1004,$A41,'Month-End Provisions'!$B$5:$B$1004,$B41)))</f>
        <v/>
      </c>
      <c r="H41" s="17" t="str">
        <f>IF(OR($G41="",$D41=""),"",$G41-$D41)</f>
        <v/>
      </c>
      <c r="I41" s="16" t="str">
        <f>IF($A41="","",SUMIFS('Month-End Provisions'!$C$5:$C$1004,'Month-End Provisions'!$A$5:$A$1004,$A41,'Month-End Provisions'!$B$5:$B$1004,"&lt;="&amp;$B41))</f>
        <v/>
      </c>
      <c r="J41" s="14" t="str">
        <f>IF(OR($A41="",$C41="?"),"",$C41-$I41)</f>
        <v/>
      </c>
      <c r="K41" s="18" t="str">
        <f>IF($A41="","",_xlfn._xlws.XLOOKUP($A41,'Matters Register'!$A$5:$A$44,'Matters Register'!$D$5:$D$44,""))</f>
        <v/>
      </c>
      <c r="L41" s="6" t="n"/>
      <c r="M41" s="6" t="n"/>
      <c r="N41" s="9" t="n"/>
      <c r="O41" s="19" t="str">
        <f>IF(OR($H41="",$H41=0),"",IF(COUNTIFS($A$5:$A$64,$A41,$B$5:$B$64,"&gt;"&amp;$B41)&gt;0,"Yes","No"))</f>
        <v/>
      </c>
      <c r="P41" s="20" t="str">
        <f>IF(AND($H41&lt;&gt;"",$H41&lt;&gt;0,NOT(OR($L41="Reforecast",$L41="Accepted"))),"YES","")</f>
        <v/>
      </c>
      <c r="Q41" s="21" t="str">
        <f>IF(OR($H41="",$H41=0),"",IF(OR($L41="Reforecast",$L41="Accepted"),"Signed off: "&amp;$L41,IF($O41="Yes","Reforecast entered — confirm sign-off","Awaiting reforecast")))</f>
        <v/>
      </c>
    </row>
    <row r="42">
      <c r="A42" s="6" t="n"/>
      <c r="B42" s="11" t="n"/>
      <c r="C42" s="12" t="str">
        <f>IF($A42="","",_xlfn._xlws.XLOOKUP($A42,'Matters Register'!$A$5:$A$44,'Matters Register'!$E$5:$E$44,"?"))</f>
        <v/>
      </c>
      <c r="D42" s="13" t="n"/>
      <c r="E42" s="14" t="str">
        <f>IF($A42="","",SUMIFS($D$5:$D$64,$A$5:$A$64,$A42,$B$5:$B$64,"&lt;="&amp;$B42))</f>
        <v/>
      </c>
      <c r="F42" s="15" t="str">
        <f>IF(OR($A42="",$C42=0,$C42="?"),"",$E42/$C42)</f>
        <v/>
      </c>
      <c r="G42" s="16" t="str">
        <f>IF($A42="","",IF(COUNTIFS('Month-End Provisions'!$A$5:$A$1004,$A42,'Month-End Provisions'!$B$5:$B$1004,$B42)=0,"",SUMIFS('Month-End Provisions'!$C$5:$C$1004,'Month-End Provisions'!$A$5:$A$1004,$A42,'Month-End Provisions'!$B$5:$B$1004,$B42)))</f>
        <v/>
      </c>
      <c r="H42" s="17" t="str">
        <f>IF(OR($G42="",$D42=""),"",$G42-$D42)</f>
        <v/>
      </c>
      <c r="I42" s="16" t="str">
        <f>IF($A42="","",SUMIFS('Month-End Provisions'!$C$5:$C$1004,'Month-End Provisions'!$A$5:$A$1004,$A42,'Month-End Provisions'!$B$5:$B$1004,"&lt;="&amp;$B42))</f>
        <v/>
      </c>
      <c r="J42" s="14" t="str">
        <f>IF(OR($A42="",$C42="?"),"",$C42-$I42)</f>
        <v/>
      </c>
      <c r="K42" s="18" t="str">
        <f>IF($A42="","",_xlfn._xlws.XLOOKUP($A42,'Matters Register'!$A$5:$A$44,'Matters Register'!$D$5:$D$44,""))</f>
        <v/>
      </c>
      <c r="L42" s="6" t="n"/>
      <c r="M42" s="6" t="n"/>
      <c r="N42" s="9" t="n"/>
      <c r="O42" s="19" t="str">
        <f>IF(OR($H42="",$H42=0),"",IF(COUNTIFS($A$5:$A$64,$A42,$B$5:$B$64,"&gt;"&amp;$B42)&gt;0,"Yes","No"))</f>
        <v/>
      </c>
      <c r="P42" s="20" t="str">
        <f>IF(AND($H42&lt;&gt;"",$H42&lt;&gt;0,NOT(OR($L42="Reforecast",$L42="Accepted"))),"YES","")</f>
        <v/>
      </c>
      <c r="Q42" s="21" t="str">
        <f>IF(OR($H42="",$H42=0),"",IF(OR($L42="Reforecast",$L42="Accepted"),"Signed off: "&amp;$L42,IF($O42="Yes","Reforecast entered — confirm sign-off","Awaiting reforecast")))</f>
        <v/>
      </c>
    </row>
    <row r="43">
      <c r="A43" s="6" t="n"/>
      <c r="B43" s="11" t="n"/>
      <c r="C43" s="12" t="str">
        <f>IF($A43="","",_xlfn._xlws.XLOOKUP($A43,'Matters Register'!$A$5:$A$44,'Matters Register'!$E$5:$E$44,"?"))</f>
        <v/>
      </c>
      <c r="D43" s="13" t="n"/>
      <c r="E43" s="14" t="str">
        <f>IF($A43="","",SUMIFS($D$5:$D$64,$A$5:$A$64,$A43,$B$5:$B$64,"&lt;="&amp;$B43))</f>
        <v/>
      </c>
      <c r="F43" s="15" t="str">
        <f>IF(OR($A43="",$C43=0,$C43="?"),"",$E43/$C43)</f>
        <v/>
      </c>
      <c r="G43" s="16" t="str">
        <f>IF($A43="","",IF(COUNTIFS('Month-End Provisions'!$A$5:$A$1004,$A43,'Month-End Provisions'!$B$5:$B$1004,$B43)=0,"",SUMIFS('Month-End Provisions'!$C$5:$C$1004,'Month-End Provisions'!$A$5:$A$1004,$A43,'Month-End Provisions'!$B$5:$B$1004,$B43)))</f>
        <v/>
      </c>
      <c r="H43" s="17" t="str">
        <f>IF(OR($G43="",$D43=""),"",$G43-$D43)</f>
        <v/>
      </c>
      <c r="I43" s="16" t="str">
        <f>IF($A43="","",SUMIFS('Month-End Provisions'!$C$5:$C$1004,'Month-End Provisions'!$A$5:$A$1004,$A43,'Month-End Provisions'!$B$5:$B$1004,"&lt;="&amp;$B43))</f>
        <v/>
      </c>
      <c r="J43" s="14" t="str">
        <f>IF(OR($A43="",$C43="?"),"",$C43-$I43)</f>
        <v/>
      </c>
      <c r="K43" s="18" t="str">
        <f>IF($A43="","",_xlfn._xlws.XLOOKUP($A43,'Matters Register'!$A$5:$A$44,'Matters Register'!$D$5:$D$44,""))</f>
        <v/>
      </c>
      <c r="L43" s="6" t="n"/>
      <c r="M43" s="6" t="n"/>
      <c r="N43" s="9" t="n"/>
      <c r="O43" s="19" t="str">
        <f>IF(OR($H43="",$H43=0),"",IF(COUNTIFS($A$5:$A$64,$A43,$B$5:$B$64,"&gt;"&amp;$B43)&gt;0,"Yes","No"))</f>
        <v/>
      </c>
      <c r="P43" s="20" t="str">
        <f>IF(AND($H43&lt;&gt;"",$H43&lt;&gt;0,NOT(OR($L43="Reforecast",$L43="Accepted"))),"YES","")</f>
        <v/>
      </c>
      <c r="Q43" s="21" t="str">
        <f>IF(OR($H43="",$H43=0),"",IF(OR($L43="Reforecast",$L43="Accepted"),"Signed off: "&amp;$L43,IF($O43="Yes","Reforecast entered — confirm sign-off","Awaiting reforecast")))</f>
        <v/>
      </c>
    </row>
    <row r="44">
      <c r="A44" s="6" t="n"/>
      <c r="B44" s="11" t="n"/>
      <c r="C44" s="12" t="str">
        <f>IF($A44="","",_xlfn._xlws.XLOOKUP($A44,'Matters Register'!$A$5:$A$44,'Matters Register'!$E$5:$E$44,"?"))</f>
        <v/>
      </c>
      <c r="D44" s="13" t="n"/>
      <c r="E44" s="14" t="str">
        <f>IF($A44="","",SUMIFS($D$5:$D$64,$A$5:$A$64,$A44,$B$5:$B$64,"&lt;="&amp;$B44))</f>
        <v/>
      </c>
      <c r="F44" s="15" t="str">
        <f>IF(OR($A44="",$C44=0,$C44="?"),"",$E44/$C44)</f>
        <v/>
      </c>
      <c r="G44" s="16" t="str">
        <f>IF($A44="","",IF(COUNTIFS('Month-End Provisions'!$A$5:$A$1004,$A44,'Month-End Provisions'!$B$5:$B$1004,$B44)=0,"",SUMIFS('Month-End Provisions'!$C$5:$C$1004,'Month-End Provisions'!$A$5:$A$1004,$A44,'Month-End Provisions'!$B$5:$B$1004,$B44)))</f>
        <v/>
      </c>
      <c r="H44" s="17" t="str">
        <f>IF(OR($G44="",$D44=""),"",$G44-$D44)</f>
        <v/>
      </c>
      <c r="I44" s="16" t="str">
        <f>IF($A44="","",SUMIFS('Month-End Provisions'!$C$5:$C$1004,'Month-End Provisions'!$A$5:$A$1004,$A44,'Month-End Provisions'!$B$5:$B$1004,"&lt;="&amp;$B44))</f>
        <v/>
      </c>
      <c r="J44" s="14" t="str">
        <f>IF(OR($A44="",$C44="?"),"",$C44-$I44)</f>
        <v/>
      </c>
      <c r="K44" s="18" t="str">
        <f>IF($A44="","",_xlfn._xlws.XLOOKUP($A44,'Matters Register'!$A$5:$A$44,'Matters Register'!$D$5:$D$44,""))</f>
        <v/>
      </c>
      <c r="L44" s="6" t="n"/>
      <c r="M44" s="6" t="n"/>
      <c r="N44" s="9" t="n"/>
      <c r="O44" s="19" t="str">
        <f>IF(OR($H44="",$H44=0),"",IF(COUNTIFS($A$5:$A$64,$A44,$B$5:$B$64,"&gt;"&amp;$B44)&gt;0,"Yes","No"))</f>
        <v/>
      </c>
      <c r="P44" s="20" t="str">
        <f>IF(AND($H44&lt;&gt;"",$H44&lt;&gt;0,NOT(OR($L44="Reforecast",$L44="Accepted"))),"YES","")</f>
        <v/>
      </c>
      <c r="Q44" s="21" t="str">
        <f>IF(OR($H44="",$H44=0),"",IF(OR($L44="Reforecast",$L44="Accepted"),"Signed off: "&amp;$L44,IF($O44="Yes","Reforecast entered — confirm sign-off","Awaiting reforecast")))</f>
        <v/>
      </c>
    </row>
    <row r="45">
      <c r="A45" s="6" t="n"/>
      <c r="B45" s="11" t="n"/>
      <c r="C45" s="12" t="str">
        <f>IF($A45="","",_xlfn._xlws.XLOOKUP($A45,'Matters Register'!$A$5:$A$44,'Matters Register'!$E$5:$E$44,"?"))</f>
        <v/>
      </c>
      <c r="D45" s="13" t="n"/>
      <c r="E45" s="14" t="str">
        <f>IF($A45="","",SUMIFS($D$5:$D$64,$A$5:$A$64,$A45,$B$5:$B$64,"&lt;="&amp;$B45))</f>
        <v/>
      </c>
      <c r="F45" s="15" t="str">
        <f>IF(OR($A45="",$C45=0,$C45="?"),"",$E45/$C45)</f>
        <v/>
      </c>
      <c r="G45" s="16" t="str">
        <f>IF($A45="","",IF(COUNTIFS('Month-End Provisions'!$A$5:$A$1004,$A45,'Month-End Provisions'!$B$5:$B$1004,$B45)=0,"",SUMIFS('Month-End Provisions'!$C$5:$C$1004,'Month-End Provisions'!$A$5:$A$1004,$A45,'Month-End Provisions'!$B$5:$B$1004,$B45)))</f>
        <v/>
      </c>
      <c r="H45" s="17" t="str">
        <f>IF(OR($G45="",$D45=""),"",$G45-$D45)</f>
        <v/>
      </c>
      <c r="I45" s="16" t="str">
        <f>IF($A45="","",SUMIFS('Month-End Provisions'!$C$5:$C$1004,'Month-End Provisions'!$A$5:$A$1004,$A45,'Month-End Provisions'!$B$5:$B$1004,"&lt;="&amp;$B45))</f>
        <v/>
      </c>
      <c r="J45" s="14" t="str">
        <f>IF(OR($A45="",$C45="?"),"",$C45-$I45)</f>
        <v/>
      </c>
      <c r="K45" s="18" t="str">
        <f>IF($A45="","",_xlfn._xlws.XLOOKUP($A45,'Matters Register'!$A$5:$A$44,'Matters Register'!$D$5:$D$44,""))</f>
        <v/>
      </c>
      <c r="L45" s="6" t="n"/>
      <c r="M45" s="6" t="n"/>
      <c r="N45" s="9" t="n"/>
      <c r="O45" s="19" t="str">
        <f>IF(OR($H45="",$H45=0),"",IF(COUNTIFS($A$5:$A$64,$A45,$B$5:$B$64,"&gt;"&amp;$B45)&gt;0,"Yes","No"))</f>
        <v/>
      </c>
      <c r="P45" s="20" t="str">
        <f>IF(AND($H45&lt;&gt;"",$H45&lt;&gt;0,NOT(OR($L45="Reforecast",$L45="Accepted"))),"YES","")</f>
        <v/>
      </c>
      <c r="Q45" s="21" t="str">
        <f>IF(OR($H45="",$H45=0),"",IF(OR($L45="Reforecast",$L45="Accepted"),"Signed off: "&amp;$L45,IF($O45="Yes","Reforecast entered — confirm sign-off","Awaiting reforecast")))</f>
        <v/>
      </c>
    </row>
    <row r="46">
      <c r="A46" s="6" t="n"/>
      <c r="B46" s="11" t="n"/>
      <c r="C46" s="12" t="str">
        <f>IF($A46="","",_xlfn._xlws.XLOOKUP($A46,'Matters Register'!$A$5:$A$44,'Matters Register'!$E$5:$E$44,"?"))</f>
        <v/>
      </c>
      <c r="D46" s="13" t="n"/>
      <c r="E46" s="14" t="str">
        <f>IF($A46="","",SUMIFS($D$5:$D$64,$A$5:$A$64,$A46,$B$5:$B$64,"&lt;="&amp;$B46))</f>
        <v/>
      </c>
      <c r="F46" s="15" t="str">
        <f>IF(OR($A46="",$C46=0,$C46="?"),"",$E46/$C46)</f>
        <v/>
      </c>
      <c r="G46" s="16" t="str">
        <f>IF($A46="","",IF(COUNTIFS('Month-End Provisions'!$A$5:$A$1004,$A46,'Month-End Provisions'!$B$5:$B$1004,$B46)=0,"",SUMIFS('Month-End Provisions'!$C$5:$C$1004,'Month-End Provisions'!$A$5:$A$1004,$A46,'Month-End Provisions'!$B$5:$B$1004,$B46)))</f>
        <v/>
      </c>
      <c r="H46" s="17" t="str">
        <f>IF(OR($G46="",$D46=""),"",$G46-$D46)</f>
        <v/>
      </c>
      <c r="I46" s="16" t="str">
        <f>IF($A46="","",SUMIFS('Month-End Provisions'!$C$5:$C$1004,'Month-End Provisions'!$A$5:$A$1004,$A46,'Month-End Provisions'!$B$5:$B$1004,"&lt;="&amp;$B46))</f>
        <v/>
      </c>
      <c r="J46" s="14" t="str">
        <f>IF(OR($A46="",$C46="?"),"",$C46-$I46)</f>
        <v/>
      </c>
      <c r="K46" s="18" t="str">
        <f>IF($A46="","",_xlfn._xlws.XLOOKUP($A46,'Matters Register'!$A$5:$A$44,'Matters Register'!$D$5:$D$44,""))</f>
        <v/>
      </c>
      <c r="L46" s="6" t="n"/>
      <c r="M46" s="6" t="n"/>
      <c r="N46" s="9" t="n"/>
      <c r="O46" s="19" t="str">
        <f>IF(OR($H46="",$H46=0),"",IF(COUNTIFS($A$5:$A$64,$A46,$B$5:$B$64,"&gt;"&amp;$B46)&gt;0,"Yes","No"))</f>
        <v/>
      </c>
      <c r="P46" s="20" t="str">
        <f>IF(AND($H46&lt;&gt;"",$H46&lt;&gt;0,NOT(OR($L46="Reforecast",$L46="Accepted"))),"YES","")</f>
        <v/>
      </c>
      <c r="Q46" s="21" t="str">
        <f>IF(OR($H46="",$H46=0),"",IF(OR($L46="Reforecast",$L46="Accepted"),"Signed off: "&amp;$L46,IF($O46="Yes","Reforecast entered — confirm sign-off","Awaiting reforecast")))</f>
        <v/>
      </c>
    </row>
    <row r="47">
      <c r="A47" s="6" t="n"/>
      <c r="B47" s="11" t="n"/>
      <c r="C47" s="12" t="str">
        <f>IF($A47="","",_xlfn._xlws.XLOOKUP($A47,'Matters Register'!$A$5:$A$44,'Matters Register'!$E$5:$E$44,"?"))</f>
        <v/>
      </c>
      <c r="D47" s="13" t="n"/>
      <c r="E47" s="14" t="str">
        <f>IF($A47="","",SUMIFS($D$5:$D$64,$A$5:$A$64,$A47,$B$5:$B$64,"&lt;="&amp;$B47))</f>
        <v/>
      </c>
      <c r="F47" s="15" t="str">
        <f>IF(OR($A47="",$C47=0,$C47="?"),"",$E47/$C47)</f>
        <v/>
      </c>
      <c r="G47" s="16" t="str">
        <f>IF($A47="","",IF(COUNTIFS('Month-End Provisions'!$A$5:$A$1004,$A47,'Month-End Provisions'!$B$5:$B$1004,$B47)=0,"",SUMIFS('Month-End Provisions'!$C$5:$C$1004,'Month-End Provisions'!$A$5:$A$1004,$A47,'Month-End Provisions'!$B$5:$B$1004,$B47)))</f>
        <v/>
      </c>
      <c r="H47" s="17" t="str">
        <f>IF(OR($G47="",$D47=""),"",$G47-$D47)</f>
        <v/>
      </c>
      <c r="I47" s="16" t="str">
        <f>IF($A47="","",SUMIFS('Month-End Provisions'!$C$5:$C$1004,'Month-End Provisions'!$A$5:$A$1004,$A47,'Month-End Provisions'!$B$5:$B$1004,"&lt;="&amp;$B47))</f>
        <v/>
      </c>
      <c r="J47" s="14" t="str">
        <f>IF(OR($A47="",$C47="?"),"",$C47-$I47)</f>
        <v/>
      </c>
      <c r="K47" s="18" t="str">
        <f>IF($A47="","",_xlfn._xlws.XLOOKUP($A47,'Matters Register'!$A$5:$A$44,'Matters Register'!$D$5:$D$44,""))</f>
        <v/>
      </c>
      <c r="L47" s="6" t="n"/>
      <c r="M47" s="6" t="n"/>
      <c r="N47" s="9" t="n"/>
      <c r="O47" s="19" t="str">
        <f>IF(OR($H47="",$H47=0),"",IF(COUNTIFS($A$5:$A$64,$A47,$B$5:$B$64,"&gt;"&amp;$B47)&gt;0,"Yes","No"))</f>
        <v/>
      </c>
      <c r="P47" s="20" t="str">
        <f>IF(AND($H47&lt;&gt;"",$H47&lt;&gt;0,NOT(OR($L47="Reforecast",$L47="Accepted"))),"YES","")</f>
        <v/>
      </c>
      <c r="Q47" s="21" t="str">
        <f>IF(OR($H47="",$H47=0),"",IF(OR($L47="Reforecast",$L47="Accepted"),"Signed off: "&amp;$L47,IF($O47="Yes","Reforecast entered — confirm sign-off","Awaiting reforecast")))</f>
        <v/>
      </c>
    </row>
    <row r="48">
      <c r="A48" s="6" t="n"/>
      <c r="B48" s="11" t="n"/>
      <c r="C48" s="12" t="str">
        <f>IF($A48="","",_xlfn._xlws.XLOOKUP($A48,'Matters Register'!$A$5:$A$44,'Matters Register'!$E$5:$E$44,"?"))</f>
        <v/>
      </c>
      <c r="D48" s="13" t="n"/>
      <c r="E48" s="14" t="str">
        <f>IF($A48="","",SUMIFS($D$5:$D$64,$A$5:$A$64,$A48,$B$5:$B$64,"&lt;="&amp;$B48))</f>
        <v/>
      </c>
      <c r="F48" s="15" t="str">
        <f>IF(OR($A48="",$C48=0,$C48="?"),"",$E48/$C48)</f>
        <v/>
      </c>
      <c r="G48" s="16" t="str">
        <f>IF($A48="","",IF(COUNTIFS('Month-End Provisions'!$A$5:$A$1004,$A48,'Month-End Provisions'!$B$5:$B$1004,$B48)=0,"",SUMIFS('Month-End Provisions'!$C$5:$C$1004,'Month-End Provisions'!$A$5:$A$1004,$A48,'Month-End Provisions'!$B$5:$B$1004,$B48)))</f>
        <v/>
      </c>
      <c r="H48" s="17" t="str">
        <f>IF(OR($G48="",$D48=""),"",$G48-$D48)</f>
        <v/>
      </c>
      <c r="I48" s="16" t="str">
        <f>IF($A48="","",SUMIFS('Month-End Provisions'!$C$5:$C$1004,'Month-End Provisions'!$A$5:$A$1004,$A48,'Month-End Provisions'!$B$5:$B$1004,"&lt;="&amp;$B48))</f>
        <v/>
      </c>
      <c r="J48" s="14" t="str">
        <f>IF(OR($A48="",$C48="?"),"",$C48-$I48)</f>
        <v/>
      </c>
      <c r="K48" s="18" t="str">
        <f>IF($A48="","",_xlfn._xlws.XLOOKUP($A48,'Matters Register'!$A$5:$A$44,'Matters Register'!$D$5:$D$44,""))</f>
        <v/>
      </c>
      <c r="L48" s="6" t="n"/>
      <c r="M48" s="6" t="n"/>
      <c r="N48" s="9" t="n"/>
      <c r="O48" s="19" t="str">
        <f>IF(OR($H48="",$H48=0),"",IF(COUNTIFS($A$5:$A$64,$A48,$B$5:$B$64,"&gt;"&amp;$B48)&gt;0,"Yes","No"))</f>
        <v/>
      </c>
      <c r="P48" s="20" t="str">
        <f>IF(AND($H48&lt;&gt;"",$H48&lt;&gt;0,NOT(OR($L48="Reforecast",$L48="Accepted"))),"YES","")</f>
        <v/>
      </c>
      <c r="Q48" s="21" t="str">
        <f>IF(OR($H48="",$H48=0),"",IF(OR($L48="Reforecast",$L48="Accepted"),"Signed off: "&amp;$L48,IF($O48="Yes","Reforecast entered — confirm sign-off","Awaiting reforecast")))</f>
        <v/>
      </c>
    </row>
    <row r="49">
      <c r="A49" s="6" t="n"/>
      <c r="B49" s="11" t="n"/>
      <c r="C49" s="12" t="str">
        <f>IF($A49="","",_xlfn._xlws.XLOOKUP($A49,'Matters Register'!$A$5:$A$44,'Matters Register'!$E$5:$E$44,"?"))</f>
        <v/>
      </c>
      <c r="D49" s="13" t="n"/>
      <c r="E49" s="14" t="str">
        <f>IF($A49="","",SUMIFS($D$5:$D$64,$A$5:$A$64,$A49,$B$5:$B$64,"&lt;="&amp;$B49))</f>
        <v/>
      </c>
      <c r="F49" s="15" t="str">
        <f>IF(OR($A49="",$C49=0,$C49="?"),"",$E49/$C49)</f>
        <v/>
      </c>
      <c r="G49" s="16" t="str">
        <f>IF($A49="","",IF(COUNTIFS('Month-End Provisions'!$A$5:$A$1004,$A49,'Month-End Provisions'!$B$5:$B$1004,$B49)=0,"",SUMIFS('Month-End Provisions'!$C$5:$C$1004,'Month-End Provisions'!$A$5:$A$1004,$A49,'Month-End Provisions'!$B$5:$B$1004,$B49)))</f>
        <v/>
      </c>
      <c r="H49" s="17" t="str">
        <f>IF(OR($G49="",$D49=""),"",$G49-$D49)</f>
        <v/>
      </c>
      <c r="I49" s="16" t="str">
        <f>IF($A49="","",SUMIFS('Month-End Provisions'!$C$5:$C$1004,'Month-End Provisions'!$A$5:$A$1004,$A49,'Month-End Provisions'!$B$5:$B$1004,"&lt;="&amp;$B49))</f>
        <v/>
      </c>
      <c r="J49" s="14" t="str">
        <f>IF(OR($A49="",$C49="?"),"",$C49-$I49)</f>
        <v/>
      </c>
      <c r="K49" s="18" t="str">
        <f>IF($A49="","",_xlfn._xlws.XLOOKUP($A49,'Matters Register'!$A$5:$A$44,'Matters Register'!$D$5:$D$44,""))</f>
        <v/>
      </c>
      <c r="L49" s="6" t="n"/>
      <c r="M49" s="6" t="n"/>
      <c r="N49" s="9" t="n"/>
      <c r="O49" s="19" t="str">
        <f>IF(OR($H49="",$H49=0),"",IF(COUNTIFS($A$5:$A$64,$A49,$B$5:$B$64,"&gt;"&amp;$B49)&gt;0,"Yes","No"))</f>
        <v/>
      </c>
      <c r="P49" s="20" t="str">
        <f>IF(AND($H49&lt;&gt;"",$H49&lt;&gt;0,NOT(OR($L49="Reforecast",$L49="Accepted"))),"YES","")</f>
        <v/>
      </c>
      <c r="Q49" s="21" t="str">
        <f>IF(OR($H49="",$H49=0),"",IF(OR($L49="Reforecast",$L49="Accepted"),"Signed off: "&amp;$L49,IF($O49="Yes","Reforecast entered — confirm sign-off","Awaiting reforecast")))</f>
        <v/>
      </c>
    </row>
    <row r="50">
      <c r="A50" s="6" t="n"/>
      <c r="B50" s="11" t="n"/>
      <c r="C50" s="12" t="str">
        <f>IF($A50="","",_xlfn._xlws.XLOOKUP($A50,'Matters Register'!$A$5:$A$44,'Matters Register'!$E$5:$E$44,"?"))</f>
        <v/>
      </c>
      <c r="D50" s="13" t="n"/>
      <c r="E50" s="14" t="str">
        <f>IF($A50="","",SUMIFS($D$5:$D$64,$A$5:$A$64,$A50,$B$5:$B$64,"&lt;="&amp;$B50))</f>
        <v/>
      </c>
      <c r="F50" s="15" t="str">
        <f>IF(OR($A50="",$C50=0,$C50="?"),"",$E50/$C50)</f>
        <v/>
      </c>
      <c r="G50" s="16" t="str">
        <f>IF($A50="","",IF(COUNTIFS('Month-End Provisions'!$A$5:$A$1004,$A50,'Month-End Provisions'!$B$5:$B$1004,$B50)=0,"",SUMIFS('Month-End Provisions'!$C$5:$C$1004,'Month-End Provisions'!$A$5:$A$1004,$A50,'Month-End Provisions'!$B$5:$B$1004,$B50)))</f>
        <v/>
      </c>
      <c r="H50" s="17" t="str">
        <f>IF(OR($G50="",$D50=""),"",$G50-$D50)</f>
        <v/>
      </c>
      <c r="I50" s="16" t="str">
        <f>IF($A50="","",SUMIFS('Month-End Provisions'!$C$5:$C$1004,'Month-End Provisions'!$A$5:$A$1004,$A50,'Month-End Provisions'!$B$5:$B$1004,"&lt;="&amp;$B50))</f>
        <v/>
      </c>
      <c r="J50" s="14" t="str">
        <f>IF(OR($A50="",$C50="?"),"",$C50-$I50)</f>
        <v/>
      </c>
      <c r="K50" s="18" t="str">
        <f>IF($A50="","",_xlfn._xlws.XLOOKUP($A50,'Matters Register'!$A$5:$A$44,'Matters Register'!$D$5:$D$44,""))</f>
        <v/>
      </c>
      <c r="L50" s="6" t="n"/>
      <c r="M50" s="6" t="n"/>
      <c r="N50" s="9" t="n"/>
      <c r="O50" s="19" t="str">
        <f>IF(OR($H50="",$H50=0),"",IF(COUNTIFS($A$5:$A$64,$A50,$B$5:$B$64,"&gt;"&amp;$B50)&gt;0,"Yes","No"))</f>
        <v/>
      </c>
      <c r="P50" s="20" t="str">
        <f>IF(AND($H50&lt;&gt;"",$H50&lt;&gt;0,NOT(OR($L50="Reforecast",$L50="Accepted"))),"YES","")</f>
        <v/>
      </c>
      <c r="Q50" s="21" t="str">
        <f>IF(OR($H50="",$H50=0),"",IF(OR($L50="Reforecast",$L50="Accepted"),"Signed off: "&amp;$L50,IF($O50="Yes","Reforecast entered — confirm sign-off","Awaiting reforecast")))</f>
        <v/>
      </c>
    </row>
    <row r="51">
      <c r="A51" s="6" t="n"/>
      <c r="B51" s="11" t="n"/>
      <c r="C51" s="12" t="str">
        <f>IF($A51="","",_xlfn._xlws.XLOOKUP($A51,'Matters Register'!$A$5:$A$44,'Matters Register'!$E$5:$E$44,"?"))</f>
        <v/>
      </c>
      <c r="D51" s="13" t="n"/>
      <c r="E51" s="14" t="str">
        <f>IF($A51="","",SUMIFS($D$5:$D$64,$A$5:$A$64,$A51,$B$5:$B$64,"&lt;="&amp;$B51))</f>
        <v/>
      </c>
      <c r="F51" s="15" t="str">
        <f>IF(OR($A51="",$C51=0,$C51="?"),"",$E51/$C51)</f>
        <v/>
      </c>
      <c r="G51" s="16" t="str">
        <f>IF($A51="","",IF(COUNTIFS('Month-End Provisions'!$A$5:$A$1004,$A51,'Month-End Provisions'!$B$5:$B$1004,$B51)=0,"",SUMIFS('Month-End Provisions'!$C$5:$C$1004,'Month-End Provisions'!$A$5:$A$1004,$A51,'Month-End Provisions'!$B$5:$B$1004,$B51)))</f>
        <v/>
      </c>
      <c r="H51" s="17" t="str">
        <f>IF(OR($G51="",$D51=""),"",$G51-$D51)</f>
        <v/>
      </c>
      <c r="I51" s="16" t="str">
        <f>IF($A51="","",SUMIFS('Month-End Provisions'!$C$5:$C$1004,'Month-End Provisions'!$A$5:$A$1004,$A51,'Month-End Provisions'!$B$5:$B$1004,"&lt;="&amp;$B51))</f>
        <v/>
      </c>
      <c r="J51" s="14" t="str">
        <f>IF(OR($A51="",$C51="?"),"",$C51-$I51)</f>
        <v/>
      </c>
      <c r="K51" s="18" t="str">
        <f>IF($A51="","",_xlfn._xlws.XLOOKUP($A51,'Matters Register'!$A$5:$A$44,'Matters Register'!$D$5:$D$44,""))</f>
        <v/>
      </c>
      <c r="L51" s="6" t="n"/>
      <c r="M51" s="6" t="n"/>
      <c r="N51" s="9" t="n"/>
      <c r="O51" s="19" t="str">
        <f>IF(OR($H51="",$H51=0),"",IF(COUNTIFS($A$5:$A$64,$A51,$B$5:$B$64,"&gt;"&amp;$B51)&gt;0,"Yes","No"))</f>
        <v/>
      </c>
      <c r="P51" s="20" t="str">
        <f>IF(AND($H51&lt;&gt;"",$H51&lt;&gt;0,NOT(OR($L51="Reforecast",$L51="Accepted"))),"YES","")</f>
        <v/>
      </c>
      <c r="Q51" s="21" t="str">
        <f>IF(OR($H51="",$H51=0),"",IF(OR($L51="Reforecast",$L51="Accepted"),"Signed off: "&amp;$L51,IF($O51="Yes","Reforecast entered — confirm sign-off","Awaiting reforecast")))</f>
        <v/>
      </c>
    </row>
    <row r="52">
      <c r="A52" s="6" t="n"/>
      <c r="B52" s="11" t="n"/>
      <c r="C52" s="12" t="str">
        <f>IF($A52="","",_xlfn._xlws.XLOOKUP($A52,'Matters Register'!$A$5:$A$44,'Matters Register'!$E$5:$E$44,"?"))</f>
        <v/>
      </c>
      <c r="D52" s="13" t="n"/>
      <c r="E52" s="14" t="str">
        <f>IF($A52="","",SUMIFS($D$5:$D$64,$A$5:$A$64,$A52,$B$5:$B$64,"&lt;="&amp;$B52))</f>
        <v/>
      </c>
      <c r="F52" s="15" t="str">
        <f>IF(OR($A52="",$C52=0,$C52="?"),"",$E52/$C52)</f>
        <v/>
      </c>
      <c r="G52" s="16" t="str">
        <f>IF($A52="","",IF(COUNTIFS('Month-End Provisions'!$A$5:$A$1004,$A52,'Month-End Provisions'!$B$5:$B$1004,$B52)=0,"",SUMIFS('Month-End Provisions'!$C$5:$C$1004,'Month-End Provisions'!$A$5:$A$1004,$A52,'Month-End Provisions'!$B$5:$B$1004,$B52)))</f>
        <v/>
      </c>
      <c r="H52" s="17" t="str">
        <f>IF(OR($G52="",$D52=""),"",$G52-$D52)</f>
        <v/>
      </c>
      <c r="I52" s="16" t="str">
        <f>IF($A52="","",SUMIFS('Month-End Provisions'!$C$5:$C$1004,'Month-End Provisions'!$A$5:$A$1004,$A52,'Month-End Provisions'!$B$5:$B$1004,"&lt;="&amp;$B52))</f>
        <v/>
      </c>
      <c r="J52" s="14" t="str">
        <f>IF(OR($A52="",$C52="?"),"",$C52-$I52)</f>
        <v/>
      </c>
      <c r="K52" s="18" t="str">
        <f>IF($A52="","",_xlfn._xlws.XLOOKUP($A52,'Matters Register'!$A$5:$A$44,'Matters Register'!$D$5:$D$44,""))</f>
        <v/>
      </c>
      <c r="L52" s="6" t="n"/>
      <c r="M52" s="6" t="n"/>
      <c r="N52" s="9" t="n"/>
      <c r="O52" s="19" t="str">
        <f>IF(OR($H52="",$H52=0),"",IF(COUNTIFS($A$5:$A$64,$A52,$B$5:$B$64,"&gt;"&amp;$B52)&gt;0,"Yes","No"))</f>
        <v/>
      </c>
      <c r="P52" s="20" t="str">
        <f>IF(AND($H52&lt;&gt;"",$H52&lt;&gt;0,NOT(OR($L52="Reforecast",$L52="Accepted"))),"YES","")</f>
        <v/>
      </c>
      <c r="Q52" s="21" t="str">
        <f>IF(OR($H52="",$H52=0),"",IF(OR($L52="Reforecast",$L52="Accepted"),"Signed off: "&amp;$L52,IF($O52="Yes","Reforecast entered — confirm sign-off","Awaiting reforecast")))</f>
        <v/>
      </c>
    </row>
    <row r="53">
      <c r="A53" s="6" t="n"/>
      <c r="B53" s="11" t="n"/>
      <c r="C53" s="12" t="str">
        <f>IF($A53="","",_xlfn._xlws.XLOOKUP($A53,'Matters Register'!$A$5:$A$44,'Matters Register'!$E$5:$E$44,"?"))</f>
        <v/>
      </c>
      <c r="D53" s="13" t="n"/>
      <c r="E53" s="14" t="str">
        <f>IF($A53="","",SUMIFS($D$5:$D$64,$A$5:$A$64,$A53,$B$5:$B$64,"&lt;="&amp;$B53))</f>
        <v/>
      </c>
      <c r="F53" s="15" t="str">
        <f>IF(OR($A53="",$C53=0,$C53="?"),"",$E53/$C53)</f>
        <v/>
      </c>
      <c r="G53" s="16" t="str">
        <f>IF($A53="","",IF(COUNTIFS('Month-End Provisions'!$A$5:$A$1004,$A53,'Month-End Provisions'!$B$5:$B$1004,$B53)=0,"",SUMIFS('Month-End Provisions'!$C$5:$C$1004,'Month-End Provisions'!$A$5:$A$1004,$A53,'Month-End Provisions'!$B$5:$B$1004,$B53)))</f>
        <v/>
      </c>
      <c r="H53" s="17" t="str">
        <f>IF(OR($G53="",$D53=""),"",$G53-$D53)</f>
        <v/>
      </c>
      <c r="I53" s="16" t="str">
        <f>IF($A53="","",SUMIFS('Month-End Provisions'!$C$5:$C$1004,'Month-End Provisions'!$A$5:$A$1004,$A53,'Month-End Provisions'!$B$5:$B$1004,"&lt;="&amp;$B53))</f>
        <v/>
      </c>
      <c r="J53" s="14" t="str">
        <f>IF(OR($A53="",$C53="?"),"",$C53-$I53)</f>
        <v/>
      </c>
      <c r="K53" s="18" t="str">
        <f>IF($A53="","",_xlfn._xlws.XLOOKUP($A53,'Matters Register'!$A$5:$A$44,'Matters Register'!$D$5:$D$44,""))</f>
        <v/>
      </c>
      <c r="L53" s="6" t="n"/>
      <c r="M53" s="6" t="n"/>
      <c r="N53" s="9" t="n"/>
      <c r="O53" s="19" t="str">
        <f>IF(OR($H53="",$H53=0),"",IF(COUNTIFS($A$5:$A$64,$A53,$B$5:$B$64,"&gt;"&amp;$B53)&gt;0,"Yes","No"))</f>
        <v/>
      </c>
      <c r="P53" s="20" t="str">
        <f>IF(AND($H53&lt;&gt;"",$H53&lt;&gt;0,NOT(OR($L53="Reforecast",$L53="Accepted"))),"YES","")</f>
        <v/>
      </c>
      <c r="Q53" s="21" t="str">
        <f>IF(OR($H53="",$H53=0),"",IF(OR($L53="Reforecast",$L53="Accepted"),"Signed off: "&amp;$L53,IF($O53="Yes","Reforecast entered — confirm sign-off","Awaiting reforecast")))</f>
        <v/>
      </c>
    </row>
    <row r="54">
      <c r="A54" s="6" t="n"/>
      <c r="B54" s="11" t="n"/>
      <c r="C54" s="12" t="str">
        <f>IF($A54="","",_xlfn._xlws.XLOOKUP($A54,'Matters Register'!$A$5:$A$44,'Matters Register'!$E$5:$E$44,"?"))</f>
        <v/>
      </c>
      <c r="D54" s="13" t="n"/>
      <c r="E54" s="14" t="str">
        <f>IF($A54="","",SUMIFS($D$5:$D$64,$A$5:$A$64,$A54,$B$5:$B$64,"&lt;="&amp;$B54))</f>
        <v/>
      </c>
      <c r="F54" s="15" t="str">
        <f>IF(OR($A54="",$C54=0,$C54="?"),"",$E54/$C54)</f>
        <v/>
      </c>
      <c r="G54" s="16" t="str">
        <f>IF($A54="","",IF(COUNTIFS('Month-End Provisions'!$A$5:$A$1004,$A54,'Month-End Provisions'!$B$5:$B$1004,$B54)=0,"",SUMIFS('Month-End Provisions'!$C$5:$C$1004,'Month-End Provisions'!$A$5:$A$1004,$A54,'Month-End Provisions'!$B$5:$B$1004,$B54)))</f>
        <v/>
      </c>
      <c r="H54" s="17" t="str">
        <f>IF(OR($G54="",$D54=""),"",$G54-$D54)</f>
        <v/>
      </c>
      <c r="I54" s="16" t="str">
        <f>IF($A54="","",SUMIFS('Month-End Provisions'!$C$5:$C$1004,'Month-End Provisions'!$A$5:$A$1004,$A54,'Month-End Provisions'!$B$5:$B$1004,"&lt;="&amp;$B54))</f>
        <v/>
      </c>
      <c r="J54" s="14" t="str">
        <f>IF(OR($A54="",$C54="?"),"",$C54-$I54)</f>
        <v/>
      </c>
      <c r="K54" s="18" t="str">
        <f>IF($A54="","",_xlfn._xlws.XLOOKUP($A54,'Matters Register'!$A$5:$A$44,'Matters Register'!$D$5:$D$44,""))</f>
        <v/>
      </c>
      <c r="L54" s="6" t="n"/>
      <c r="M54" s="6" t="n"/>
      <c r="N54" s="9" t="n"/>
      <c r="O54" s="19" t="str">
        <f>IF(OR($H54="",$H54=0),"",IF(COUNTIFS($A$5:$A$64,$A54,$B$5:$B$64,"&gt;"&amp;$B54)&gt;0,"Yes","No"))</f>
        <v/>
      </c>
      <c r="P54" s="20" t="str">
        <f>IF(AND($H54&lt;&gt;"",$H54&lt;&gt;0,NOT(OR($L54="Reforecast",$L54="Accepted"))),"YES","")</f>
        <v/>
      </c>
      <c r="Q54" s="21" t="str">
        <f>IF(OR($H54="",$H54=0),"",IF(OR($L54="Reforecast",$L54="Accepted"),"Signed off: "&amp;$L54,IF($O54="Yes","Reforecast entered — confirm sign-off","Awaiting reforecast")))</f>
        <v/>
      </c>
    </row>
    <row r="55">
      <c r="A55" s="6" t="n"/>
      <c r="B55" s="11" t="n"/>
      <c r="C55" s="12" t="str">
        <f>IF($A55="","",_xlfn._xlws.XLOOKUP($A55,'Matters Register'!$A$5:$A$44,'Matters Register'!$E$5:$E$44,"?"))</f>
        <v/>
      </c>
      <c r="D55" s="13" t="n"/>
      <c r="E55" s="14" t="str">
        <f>IF($A55="","",SUMIFS($D$5:$D$64,$A$5:$A$64,$A55,$B$5:$B$64,"&lt;="&amp;$B55))</f>
        <v/>
      </c>
      <c r="F55" s="15" t="str">
        <f>IF(OR($A55="",$C55=0,$C55="?"),"",$E55/$C55)</f>
        <v/>
      </c>
      <c r="G55" s="16" t="str">
        <f>IF($A55="","",IF(COUNTIFS('Month-End Provisions'!$A$5:$A$1004,$A55,'Month-End Provisions'!$B$5:$B$1004,$B55)=0,"",SUMIFS('Month-End Provisions'!$C$5:$C$1004,'Month-End Provisions'!$A$5:$A$1004,$A55,'Month-End Provisions'!$B$5:$B$1004,$B55)))</f>
        <v/>
      </c>
      <c r="H55" s="17" t="str">
        <f>IF(OR($G55="",$D55=""),"",$G55-$D55)</f>
        <v/>
      </c>
      <c r="I55" s="16" t="str">
        <f>IF($A55="","",SUMIFS('Month-End Provisions'!$C$5:$C$1004,'Month-End Provisions'!$A$5:$A$1004,$A55,'Month-End Provisions'!$B$5:$B$1004,"&lt;="&amp;$B55))</f>
        <v/>
      </c>
      <c r="J55" s="14" t="str">
        <f>IF(OR($A55="",$C55="?"),"",$C55-$I55)</f>
        <v/>
      </c>
      <c r="K55" s="18" t="str">
        <f>IF($A55="","",_xlfn._xlws.XLOOKUP($A55,'Matters Register'!$A$5:$A$44,'Matters Register'!$D$5:$D$44,""))</f>
        <v/>
      </c>
      <c r="L55" s="6" t="n"/>
      <c r="M55" s="6" t="n"/>
      <c r="N55" s="9" t="n"/>
      <c r="O55" s="19" t="str">
        <f>IF(OR($H55="",$H55=0),"",IF(COUNTIFS($A$5:$A$64,$A55,$B$5:$B$64,"&gt;"&amp;$B55)&gt;0,"Yes","No"))</f>
        <v/>
      </c>
      <c r="P55" s="20" t="str">
        <f>IF(AND($H55&lt;&gt;"",$H55&lt;&gt;0,NOT(OR($L55="Reforecast",$L55="Accepted"))),"YES","")</f>
        <v/>
      </c>
      <c r="Q55" s="21" t="str">
        <f>IF(OR($H55="",$H55=0),"",IF(OR($L55="Reforecast",$L55="Accepted"),"Signed off: "&amp;$L55,IF($O55="Yes","Reforecast entered — confirm sign-off","Awaiting reforecast")))</f>
        <v/>
      </c>
    </row>
    <row r="56">
      <c r="A56" s="6" t="n"/>
      <c r="B56" s="11" t="n"/>
      <c r="C56" s="12" t="str">
        <f>IF($A56="","",_xlfn._xlws.XLOOKUP($A56,'Matters Register'!$A$5:$A$44,'Matters Register'!$E$5:$E$44,"?"))</f>
        <v/>
      </c>
      <c r="D56" s="13" t="n"/>
      <c r="E56" s="14" t="str">
        <f>IF($A56="","",SUMIFS($D$5:$D$64,$A$5:$A$64,$A56,$B$5:$B$64,"&lt;="&amp;$B56))</f>
        <v/>
      </c>
      <c r="F56" s="15" t="str">
        <f>IF(OR($A56="",$C56=0,$C56="?"),"",$E56/$C56)</f>
        <v/>
      </c>
      <c r="G56" s="16" t="str">
        <f>IF($A56="","",IF(COUNTIFS('Month-End Provisions'!$A$5:$A$1004,$A56,'Month-End Provisions'!$B$5:$B$1004,$B56)=0,"",SUMIFS('Month-End Provisions'!$C$5:$C$1004,'Month-End Provisions'!$A$5:$A$1004,$A56,'Month-End Provisions'!$B$5:$B$1004,$B56)))</f>
        <v/>
      </c>
      <c r="H56" s="17" t="str">
        <f>IF(OR($G56="",$D56=""),"",$G56-$D56)</f>
        <v/>
      </c>
      <c r="I56" s="16" t="str">
        <f>IF($A56="","",SUMIFS('Month-End Provisions'!$C$5:$C$1004,'Month-End Provisions'!$A$5:$A$1004,$A56,'Month-End Provisions'!$B$5:$B$1004,"&lt;="&amp;$B56))</f>
        <v/>
      </c>
      <c r="J56" s="14" t="str">
        <f>IF(OR($A56="",$C56="?"),"",$C56-$I56)</f>
        <v/>
      </c>
      <c r="K56" s="18" t="str">
        <f>IF($A56="","",_xlfn._xlws.XLOOKUP($A56,'Matters Register'!$A$5:$A$44,'Matters Register'!$D$5:$D$44,""))</f>
        <v/>
      </c>
      <c r="L56" s="6" t="n"/>
      <c r="M56" s="6" t="n"/>
      <c r="N56" s="9" t="n"/>
      <c r="O56" s="19" t="str">
        <f>IF(OR($H56="",$H56=0),"",IF(COUNTIFS($A$5:$A$64,$A56,$B$5:$B$64,"&gt;"&amp;$B56)&gt;0,"Yes","No"))</f>
        <v/>
      </c>
      <c r="P56" s="20" t="str">
        <f>IF(AND($H56&lt;&gt;"",$H56&lt;&gt;0,NOT(OR($L56="Reforecast",$L56="Accepted"))),"YES","")</f>
        <v/>
      </c>
      <c r="Q56" s="21" t="str">
        <f>IF(OR($H56="",$H56=0),"",IF(OR($L56="Reforecast",$L56="Accepted"),"Signed off: "&amp;$L56,IF($O56="Yes","Reforecast entered — confirm sign-off","Awaiting reforecast")))</f>
        <v/>
      </c>
    </row>
    <row r="57">
      <c r="A57" s="6" t="n"/>
      <c r="B57" s="11" t="n"/>
      <c r="C57" s="12" t="str">
        <f>IF($A57="","",_xlfn._xlws.XLOOKUP($A57,'Matters Register'!$A$5:$A$44,'Matters Register'!$E$5:$E$44,"?"))</f>
        <v/>
      </c>
      <c r="D57" s="13" t="n"/>
      <c r="E57" s="14" t="str">
        <f>IF($A57="","",SUMIFS($D$5:$D$64,$A$5:$A$64,$A57,$B$5:$B$64,"&lt;="&amp;$B57))</f>
        <v/>
      </c>
      <c r="F57" s="15" t="str">
        <f>IF(OR($A57="",$C57=0,$C57="?"),"",$E57/$C57)</f>
        <v/>
      </c>
      <c r="G57" s="16" t="str">
        <f>IF($A57="","",IF(COUNTIFS('Month-End Provisions'!$A$5:$A$1004,$A57,'Month-End Provisions'!$B$5:$B$1004,$B57)=0,"",SUMIFS('Month-End Provisions'!$C$5:$C$1004,'Month-End Provisions'!$A$5:$A$1004,$A57,'Month-End Provisions'!$B$5:$B$1004,$B57)))</f>
        <v/>
      </c>
      <c r="H57" s="17" t="str">
        <f>IF(OR($G57="",$D57=""),"",$G57-$D57)</f>
        <v/>
      </c>
      <c r="I57" s="16" t="str">
        <f>IF($A57="","",SUMIFS('Month-End Provisions'!$C$5:$C$1004,'Month-End Provisions'!$A$5:$A$1004,$A57,'Month-End Provisions'!$B$5:$B$1004,"&lt;="&amp;$B57))</f>
        <v/>
      </c>
      <c r="J57" s="14" t="str">
        <f>IF(OR($A57="",$C57="?"),"",$C57-$I57)</f>
        <v/>
      </c>
      <c r="K57" s="18" t="str">
        <f>IF($A57="","",_xlfn._xlws.XLOOKUP($A57,'Matters Register'!$A$5:$A$44,'Matters Register'!$D$5:$D$44,""))</f>
        <v/>
      </c>
      <c r="L57" s="6" t="n"/>
      <c r="M57" s="6" t="n"/>
      <c r="N57" s="9" t="n"/>
      <c r="O57" s="19" t="str">
        <f>IF(OR($H57="",$H57=0),"",IF(COUNTIFS($A$5:$A$64,$A57,$B$5:$B$64,"&gt;"&amp;$B57)&gt;0,"Yes","No"))</f>
        <v/>
      </c>
      <c r="P57" s="20" t="str">
        <f>IF(AND($H57&lt;&gt;"",$H57&lt;&gt;0,NOT(OR($L57="Reforecast",$L57="Accepted"))),"YES","")</f>
        <v/>
      </c>
      <c r="Q57" s="21" t="str">
        <f>IF(OR($H57="",$H57=0),"",IF(OR($L57="Reforecast",$L57="Accepted"),"Signed off: "&amp;$L57,IF($O57="Yes","Reforecast entered — confirm sign-off","Awaiting reforecast")))</f>
        <v/>
      </c>
    </row>
    <row r="58">
      <c r="A58" s="6" t="n"/>
      <c r="B58" s="11" t="n"/>
      <c r="C58" s="12" t="str">
        <f>IF($A58="","",_xlfn._xlws.XLOOKUP($A58,'Matters Register'!$A$5:$A$44,'Matters Register'!$E$5:$E$44,"?"))</f>
        <v/>
      </c>
      <c r="D58" s="13" t="n"/>
      <c r="E58" s="14" t="str">
        <f>IF($A58="","",SUMIFS($D$5:$D$64,$A$5:$A$64,$A58,$B$5:$B$64,"&lt;="&amp;$B58))</f>
        <v/>
      </c>
      <c r="F58" s="15" t="str">
        <f>IF(OR($A58="",$C58=0,$C58="?"),"",$E58/$C58)</f>
        <v/>
      </c>
      <c r="G58" s="16" t="str">
        <f>IF($A58="","",IF(COUNTIFS('Month-End Provisions'!$A$5:$A$1004,$A58,'Month-End Provisions'!$B$5:$B$1004,$B58)=0,"",SUMIFS('Month-End Provisions'!$C$5:$C$1004,'Month-End Provisions'!$A$5:$A$1004,$A58,'Month-End Provisions'!$B$5:$B$1004,$B58)))</f>
        <v/>
      </c>
      <c r="H58" s="17" t="str">
        <f>IF(OR($G58="",$D58=""),"",$G58-$D58)</f>
        <v/>
      </c>
      <c r="I58" s="16" t="str">
        <f>IF($A58="","",SUMIFS('Month-End Provisions'!$C$5:$C$1004,'Month-End Provisions'!$A$5:$A$1004,$A58,'Month-End Provisions'!$B$5:$B$1004,"&lt;="&amp;$B58))</f>
        <v/>
      </c>
      <c r="J58" s="14" t="str">
        <f>IF(OR($A58="",$C58="?"),"",$C58-$I58)</f>
        <v/>
      </c>
      <c r="K58" s="18" t="str">
        <f>IF($A58="","",_xlfn._xlws.XLOOKUP($A58,'Matters Register'!$A$5:$A$44,'Matters Register'!$D$5:$D$44,""))</f>
        <v/>
      </c>
      <c r="L58" s="6" t="n"/>
      <c r="M58" s="6" t="n"/>
      <c r="N58" s="9" t="n"/>
      <c r="O58" s="19" t="str">
        <f>IF(OR($H58="",$H58=0),"",IF(COUNTIFS($A$5:$A$64,$A58,$B$5:$B$64,"&gt;"&amp;$B58)&gt;0,"Yes","No"))</f>
        <v/>
      </c>
      <c r="P58" s="20" t="str">
        <f>IF(AND($H58&lt;&gt;"",$H58&lt;&gt;0,NOT(OR($L58="Reforecast",$L58="Accepted"))),"YES","")</f>
        <v/>
      </c>
      <c r="Q58" s="21" t="str">
        <f>IF(OR($H58="",$H58=0),"",IF(OR($L58="Reforecast",$L58="Accepted"),"Signed off: "&amp;$L58,IF($O58="Yes","Reforecast entered — confirm sign-off","Awaiting reforecast")))</f>
        <v/>
      </c>
    </row>
    <row r="59">
      <c r="A59" s="6" t="n"/>
      <c r="B59" s="11" t="n"/>
      <c r="C59" s="12" t="str">
        <f>IF($A59="","",_xlfn._xlws.XLOOKUP($A59,'Matters Register'!$A$5:$A$44,'Matters Register'!$E$5:$E$44,"?"))</f>
        <v/>
      </c>
      <c r="D59" s="13" t="n"/>
      <c r="E59" s="14" t="str">
        <f>IF($A59="","",SUMIFS($D$5:$D$64,$A$5:$A$64,$A59,$B$5:$B$64,"&lt;="&amp;$B59))</f>
        <v/>
      </c>
      <c r="F59" s="15" t="str">
        <f>IF(OR($A59="",$C59=0,$C59="?"),"",$E59/$C59)</f>
        <v/>
      </c>
      <c r="G59" s="16" t="str">
        <f>IF($A59="","",IF(COUNTIFS('Month-End Provisions'!$A$5:$A$1004,$A59,'Month-End Provisions'!$B$5:$B$1004,$B59)=0,"",SUMIFS('Month-End Provisions'!$C$5:$C$1004,'Month-End Provisions'!$A$5:$A$1004,$A59,'Month-End Provisions'!$B$5:$B$1004,$B59)))</f>
        <v/>
      </c>
      <c r="H59" s="17" t="str">
        <f>IF(OR($G59="",$D59=""),"",$G59-$D59)</f>
        <v/>
      </c>
      <c r="I59" s="16" t="str">
        <f>IF($A59="","",SUMIFS('Month-End Provisions'!$C$5:$C$1004,'Month-End Provisions'!$A$5:$A$1004,$A59,'Month-End Provisions'!$B$5:$B$1004,"&lt;="&amp;$B59))</f>
        <v/>
      </c>
      <c r="J59" s="14" t="str">
        <f>IF(OR($A59="",$C59="?"),"",$C59-$I59)</f>
        <v/>
      </c>
      <c r="K59" s="18" t="str">
        <f>IF($A59="","",_xlfn._xlws.XLOOKUP($A59,'Matters Register'!$A$5:$A$44,'Matters Register'!$D$5:$D$44,""))</f>
        <v/>
      </c>
      <c r="L59" s="6" t="n"/>
      <c r="M59" s="6" t="n"/>
      <c r="N59" s="9" t="n"/>
      <c r="O59" s="19" t="str">
        <f>IF(OR($H59="",$H59=0),"",IF(COUNTIFS($A$5:$A$64,$A59,$B$5:$B$64,"&gt;"&amp;$B59)&gt;0,"Yes","No"))</f>
        <v/>
      </c>
      <c r="P59" s="20" t="str">
        <f>IF(AND($H59&lt;&gt;"",$H59&lt;&gt;0,NOT(OR($L59="Reforecast",$L59="Accepted"))),"YES","")</f>
        <v/>
      </c>
      <c r="Q59" s="21" t="str">
        <f>IF(OR($H59="",$H59=0),"",IF(OR($L59="Reforecast",$L59="Accepted"),"Signed off: "&amp;$L59,IF($O59="Yes","Reforecast entered — confirm sign-off","Awaiting reforecast")))</f>
        <v/>
      </c>
    </row>
    <row r="60">
      <c r="A60" s="6" t="n"/>
      <c r="B60" s="11" t="n"/>
      <c r="C60" s="12" t="str">
        <f>IF($A60="","",_xlfn._xlws.XLOOKUP($A60,'Matters Register'!$A$5:$A$44,'Matters Register'!$E$5:$E$44,"?"))</f>
        <v/>
      </c>
      <c r="D60" s="13" t="n"/>
      <c r="E60" s="14" t="str">
        <f>IF($A60="","",SUMIFS($D$5:$D$64,$A$5:$A$64,$A60,$B$5:$B$64,"&lt;="&amp;$B60))</f>
        <v/>
      </c>
      <c r="F60" s="15" t="str">
        <f>IF(OR($A60="",$C60=0,$C60="?"),"",$E60/$C60)</f>
        <v/>
      </c>
      <c r="G60" s="16" t="str">
        <f>IF($A60="","",IF(COUNTIFS('Month-End Provisions'!$A$5:$A$1004,$A60,'Month-End Provisions'!$B$5:$B$1004,$B60)=0,"",SUMIFS('Month-End Provisions'!$C$5:$C$1004,'Month-End Provisions'!$A$5:$A$1004,$A60,'Month-End Provisions'!$B$5:$B$1004,$B60)))</f>
        <v/>
      </c>
      <c r="H60" s="17" t="str">
        <f>IF(OR($G60="",$D60=""),"",$G60-$D60)</f>
        <v/>
      </c>
      <c r="I60" s="16" t="str">
        <f>IF($A60="","",SUMIFS('Month-End Provisions'!$C$5:$C$1004,'Month-End Provisions'!$A$5:$A$1004,$A60,'Month-End Provisions'!$B$5:$B$1004,"&lt;="&amp;$B60))</f>
        <v/>
      </c>
      <c r="J60" s="14" t="str">
        <f>IF(OR($A60="",$C60="?"),"",$C60-$I60)</f>
        <v/>
      </c>
      <c r="K60" s="18" t="str">
        <f>IF($A60="","",_xlfn._xlws.XLOOKUP($A60,'Matters Register'!$A$5:$A$44,'Matters Register'!$D$5:$D$44,""))</f>
        <v/>
      </c>
      <c r="L60" s="6" t="n"/>
      <c r="M60" s="6" t="n"/>
      <c r="N60" s="9" t="n"/>
      <c r="O60" s="19" t="str">
        <f>IF(OR($H60="",$H60=0),"",IF(COUNTIFS($A$5:$A$64,$A60,$B$5:$B$64,"&gt;"&amp;$B60)&gt;0,"Yes","No"))</f>
        <v/>
      </c>
      <c r="P60" s="20" t="str">
        <f>IF(AND($H60&lt;&gt;"",$H60&lt;&gt;0,NOT(OR($L60="Reforecast",$L60="Accepted"))),"YES","")</f>
        <v/>
      </c>
      <c r="Q60" s="21" t="str">
        <f>IF(OR($H60="",$H60=0),"",IF(OR($L60="Reforecast",$L60="Accepted"),"Signed off: "&amp;$L60,IF($O60="Yes","Reforecast entered — confirm sign-off","Awaiting reforecast")))</f>
        <v/>
      </c>
    </row>
    <row r="61">
      <c r="A61" s="6" t="n"/>
      <c r="B61" s="11" t="n"/>
      <c r="C61" s="12" t="str">
        <f>IF($A61="","",_xlfn._xlws.XLOOKUP($A61,'Matters Register'!$A$5:$A$44,'Matters Register'!$E$5:$E$44,"?"))</f>
        <v/>
      </c>
      <c r="D61" s="13" t="n"/>
      <c r="E61" s="14" t="str">
        <f>IF($A61="","",SUMIFS($D$5:$D$64,$A$5:$A$64,$A61,$B$5:$B$64,"&lt;="&amp;$B61))</f>
        <v/>
      </c>
      <c r="F61" s="15" t="str">
        <f>IF(OR($A61="",$C61=0,$C61="?"),"",$E61/$C61)</f>
        <v/>
      </c>
      <c r="G61" s="16" t="str">
        <f>IF($A61="","",IF(COUNTIFS('Month-End Provisions'!$A$5:$A$1004,$A61,'Month-End Provisions'!$B$5:$B$1004,$B61)=0,"",SUMIFS('Month-End Provisions'!$C$5:$C$1004,'Month-End Provisions'!$A$5:$A$1004,$A61,'Month-End Provisions'!$B$5:$B$1004,$B61)))</f>
        <v/>
      </c>
      <c r="H61" s="17" t="str">
        <f>IF(OR($G61="",$D61=""),"",$G61-$D61)</f>
        <v/>
      </c>
      <c r="I61" s="16" t="str">
        <f>IF($A61="","",SUMIFS('Month-End Provisions'!$C$5:$C$1004,'Month-End Provisions'!$A$5:$A$1004,$A61,'Month-End Provisions'!$B$5:$B$1004,"&lt;="&amp;$B61))</f>
        <v/>
      </c>
      <c r="J61" s="14" t="str">
        <f>IF(OR($A61="",$C61="?"),"",$C61-$I61)</f>
        <v/>
      </c>
      <c r="K61" s="18" t="str">
        <f>IF($A61="","",_xlfn._xlws.XLOOKUP($A61,'Matters Register'!$A$5:$A$44,'Matters Register'!$D$5:$D$44,""))</f>
        <v/>
      </c>
      <c r="L61" s="6" t="n"/>
      <c r="M61" s="6" t="n"/>
      <c r="N61" s="9" t="n"/>
      <c r="O61" s="19" t="str">
        <f>IF(OR($H61="",$H61=0),"",IF(COUNTIFS($A$5:$A$64,$A61,$B$5:$B$64,"&gt;"&amp;$B61)&gt;0,"Yes","No"))</f>
        <v/>
      </c>
      <c r="P61" s="20" t="str">
        <f>IF(AND($H61&lt;&gt;"",$H61&lt;&gt;0,NOT(OR($L61="Reforecast",$L61="Accepted"))),"YES","")</f>
        <v/>
      </c>
      <c r="Q61" s="21" t="str">
        <f>IF(OR($H61="",$H61=0),"",IF(OR($L61="Reforecast",$L61="Accepted"),"Signed off: "&amp;$L61,IF($O61="Yes","Reforecast entered — confirm sign-off","Awaiting reforecast")))</f>
        <v/>
      </c>
    </row>
    <row r="62">
      <c r="A62" s="6" t="n"/>
      <c r="B62" s="11" t="n"/>
      <c r="C62" s="12" t="str">
        <f>IF($A62="","",_xlfn._xlws.XLOOKUP($A62,'Matters Register'!$A$5:$A$44,'Matters Register'!$E$5:$E$44,"?"))</f>
        <v/>
      </c>
      <c r="D62" s="13" t="n"/>
      <c r="E62" s="14" t="str">
        <f>IF($A62="","",SUMIFS($D$5:$D$64,$A$5:$A$64,$A62,$B$5:$B$64,"&lt;="&amp;$B62))</f>
        <v/>
      </c>
      <c r="F62" s="15" t="str">
        <f>IF(OR($A62="",$C62=0,$C62="?"),"",$E62/$C62)</f>
        <v/>
      </c>
      <c r="G62" s="16" t="str">
        <f>IF($A62="","",IF(COUNTIFS('Month-End Provisions'!$A$5:$A$1004,$A62,'Month-End Provisions'!$B$5:$B$1004,$B62)=0,"",SUMIFS('Month-End Provisions'!$C$5:$C$1004,'Month-End Provisions'!$A$5:$A$1004,$A62,'Month-End Provisions'!$B$5:$B$1004,$B62)))</f>
        <v/>
      </c>
      <c r="H62" s="17" t="str">
        <f>IF(OR($G62="",$D62=""),"",$G62-$D62)</f>
        <v/>
      </c>
      <c r="I62" s="16" t="str">
        <f>IF($A62="","",SUMIFS('Month-End Provisions'!$C$5:$C$1004,'Month-End Provisions'!$A$5:$A$1004,$A62,'Month-End Provisions'!$B$5:$B$1004,"&lt;="&amp;$B62))</f>
        <v/>
      </c>
      <c r="J62" s="14" t="str">
        <f>IF(OR($A62="",$C62="?"),"",$C62-$I62)</f>
        <v/>
      </c>
      <c r="K62" s="18" t="str">
        <f>IF($A62="","",_xlfn._xlws.XLOOKUP($A62,'Matters Register'!$A$5:$A$44,'Matters Register'!$D$5:$D$44,""))</f>
        <v/>
      </c>
      <c r="L62" s="6" t="n"/>
      <c r="M62" s="6" t="n"/>
      <c r="N62" s="9" t="n"/>
      <c r="O62" s="19" t="str">
        <f>IF(OR($H62="",$H62=0),"",IF(COUNTIFS($A$5:$A$64,$A62,$B$5:$B$64,"&gt;"&amp;$B62)&gt;0,"Yes","No"))</f>
        <v/>
      </c>
      <c r="P62" s="20" t="str">
        <f>IF(AND($H62&lt;&gt;"",$H62&lt;&gt;0,NOT(OR($L62="Reforecast",$L62="Accepted"))),"YES","")</f>
        <v/>
      </c>
      <c r="Q62" s="21" t="str">
        <f>IF(OR($H62="",$H62=0),"",IF(OR($L62="Reforecast",$L62="Accepted"),"Signed off: "&amp;$L62,IF($O62="Yes","Reforecast entered — confirm sign-off","Awaiting reforecast")))</f>
        <v/>
      </c>
    </row>
    <row r="63">
      <c r="A63" s="6" t="n"/>
      <c r="B63" s="11" t="n"/>
      <c r="C63" s="12" t="str">
        <f>IF($A63="","",_xlfn._xlws.XLOOKUP($A63,'Matters Register'!$A$5:$A$44,'Matters Register'!$E$5:$E$44,"?"))</f>
        <v/>
      </c>
      <c r="D63" s="13" t="n"/>
      <c r="E63" s="14" t="str">
        <f>IF($A63="","",SUMIFS($D$5:$D$64,$A$5:$A$64,$A63,$B$5:$B$64,"&lt;="&amp;$B63))</f>
        <v/>
      </c>
      <c r="F63" s="15" t="str">
        <f>IF(OR($A63="",$C63=0,$C63="?"),"",$E63/$C63)</f>
        <v/>
      </c>
      <c r="G63" s="16" t="str">
        <f>IF($A63="","",IF(COUNTIFS('Month-End Provisions'!$A$5:$A$1004,$A63,'Month-End Provisions'!$B$5:$B$1004,$B63)=0,"",SUMIFS('Month-End Provisions'!$C$5:$C$1004,'Month-End Provisions'!$A$5:$A$1004,$A63,'Month-End Provisions'!$B$5:$B$1004,$B63)))</f>
        <v/>
      </c>
      <c r="H63" s="17" t="str">
        <f>IF(OR($G63="",$D63=""),"",$G63-$D63)</f>
        <v/>
      </c>
      <c r="I63" s="16" t="str">
        <f>IF($A63="","",SUMIFS('Month-End Provisions'!$C$5:$C$1004,'Month-End Provisions'!$A$5:$A$1004,$A63,'Month-End Provisions'!$B$5:$B$1004,"&lt;="&amp;$B63))</f>
        <v/>
      </c>
      <c r="J63" s="14" t="str">
        <f>IF(OR($A63="",$C63="?"),"",$C63-$I63)</f>
        <v/>
      </c>
      <c r="K63" s="18" t="str">
        <f>IF($A63="","",_xlfn._xlws.XLOOKUP($A63,'Matters Register'!$A$5:$A$44,'Matters Register'!$D$5:$D$44,""))</f>
        <v/>
      </c>
      <c r="L63" s="6" t="n"/>
      <c r="M63" s="6" t="n"/>
      <c r="N63" s="9" t="n"/>
      <c r="O63" s="19" t="str">
        <f>IF(OR($H63="",$H63=0),"",IF(COUNTIFS($A$5:$A$64,$A63,$B$5:$B$64,"&gt;"&amp;$B63)&gt;0,"Yes","No"))</f>
        <v/>
      </c>
      <c r="P63" s="20" t="str">
        <f>IF(AND($H63&lt;&gt;"",$H63&lt;&gt;0,NOT(OR($L63="Reforecast",$L63="Accepted"))),"YES","")</f>
        <v/>
      </c>
      <c r="Q63" s="21" t="str">
        <f>IF(OR($H63="",$H63=0),"",IF(OR($L63="Reforecast",$L63="Accepted"),"Signed off: "&amp;$L63,IF($O63="Yes","Reforecast entered — confirm sign-off","Awaiting reforecast")))</f>
        <v/>
      </c>
    </row>
    <row r="64">
      <c r="A64" s="6" t="n"/>
      <c r="B64" s="11" t="n"/>
      <c r="C64" s="12" t="str">
        <f>IF($A64="","",_xlfn._xlws.XLOOKUP($A64,'Matters Register'!$A$5:$A$44,'Matters Register'!$E$5:$E$44,"?"))</f>
        <v/>
      </c>
      <c r="D64" s="13" t="n"/>
      <c r="E64" s="14" t="str">
        <f>IF($A64="","",SUMIFS($D$5:$D$64,$A$5:$A$64,$A64,$B$5:$B$64,"&lt;="&amp;$B64))</f>
        <v/>
      </c>
      <c r="F64" s="15" t="str">
        <f>IF(OR($A64="",$C64=0,$C64="?"),"",$E64/$C64)</f>
        <v/>
      </c>
      <c r="G64" s="16" t="str">
        <f>IF($A64="","",IF(COUNTIFS('Month-End Provisions'!$A$5:$A$1004,$A64,'Month-End Provisions'!$B$5:$B$1004,$B64)=0,"",SUMIFS('Month-End Provisions'!$C$5:$C$1004,'Month-End Provisions'!$A$5:$A$1004,$A64,'Month-End Provisions'!$B$5:$B$1004,$B64)))</f>
        <v/>
      </c>
      <c r="H64" s="17" t="str">
        <f>IF(OR($G64="",$D64=""),"",$G64-$D64)</f>
        <v/>
      </c>
      <c r="I64" s="16" t="str">
        <f>IF($A64="","",SUMIFS('Month-End Provisions'!$C$5:$C$1004,'Month-End Provisions'!$A$5:$A$1004,$A64,'Month-End Provisions'!$B$5:$B$1004,"&lt;="&amp;$B64))</f>
        <v/>
      </c>
      <c r="J64" s="14" t="str">
        <f>IF(OR($A64="",$C64="?"),"",$C64-$I64)</f>
        <v/>
      </c>
      <c r="K64" s="18" t="str">
        <f>IF($A64="","",_xlfn._xlws.XLOOKUP($A64,'Matters Register'!$A$5:$A$44,'Matters Register'!$D$5:$D$44,""))</f>
        <v/>
      </c>
      <c r="L64" s="6" t="n"/>
      <c r="M64" s="6" t="n"/>
      <c r="N64" s="9" t="n"/>
      <c r="O64" s="19" t="str">
        <f>IF(OR($H64="",$H64=0),"",IF(COUNTIFS($A$5:$A$64,$A64,$B$5:$B$64,"&gt;"&amp;$B64)&gt;0,"Yes","No"))</f>
        <v/>
      </c>
      <c r="P64" s="20" t="str">
        <f>IF(AND($H64&lt;&gt;"",$H64&lt;&gt;0,NOT(OR($L64="Reforecast",$L64="Accepted"))),"YES","")</f>
        <v/>
      </c>
      <c r="Q64" s="21" t="str">
        <f>IF(OR($H64="",$H64=0),"",IF(OR($L64="Reforecast",$L64="Accepted"),"Signed off: "&amp;$L64,IF($O64="Yes","Reforecast entered — confirm sign-off","Awaiting reforecast")))</f>
        <v/>
      </c>
    </row>
  </sheetData>
  <autoFilter ref="A4:Q64"/>
  <conditionalFormatting sqref="H5:H64">
    <cfRule type="cellIs" priority="1" operator="lessThan" dxfId="0">
      <formula>0</formula>
    </cfRule>
    <cfRule type="cellIs" priority="2" operator="greaterThan" dxfId="1">
      <formula>0</formula>
    </cfRule>
  </conditionalFormatting>
  <conditionalFormatting sqref="J5:J64">
    <cfRule type="cellIs" priority="3" operator="lessThan" dxfId="0">
      <formula>0</formula>
    </cfRule>
  </conditionalFormatting>
  <conditionalFormatting sqref="P5:P64">
    <cfRule type="cellIs" priority="4" operator="equal" dxfId="0">
      <formula>"YES"</formula>
    </cfRule>
  </conditionalFormatting>
  <conditionalFormatting sqref="Q5:Q64">
    <cfRule type="expression" priority="5" dxfId="1">
      <formula>AND($Q5&lt;&gt;"",LEFT($Q5,6)&lt;&gt;"Signed")</formula>
    </cfRule>
  </conditionalFormatting>
  <dataValidations count="3">
    <dataValidation sqref="A5:A64" showDropDown="0" showInputMessage="0" showErrorMessage="0" allowBlank="1" type="list">
      <formula1>='Matters Register'!$A$5:$A$44</formula1>
    </dataValidation>
    <dataValidation sqref="D5:D64" showDropDown="0" showInputMessage="0" showErrorMessage="0" allowBlank="1" errorTitle="Forecast £" error="Enter the forecast fee to recognise this month (£)." type="decimal" operator="greaterThanOrEqual">
      <formula1>0</formula1>
    </dataValidation>
    <dataValidation sqref="L5:L64" showDropDown="0" showInputMessage="0" showErrorMessage="0" allowBlank="1" type="list">
      <formula1>"Open,Reforecast,Accepted"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12" customWidth="1" min="1" max="1"/>
    <col width="14" customWidth="1" min="2" max="2"/>
    <col width="16" customWidth="1" min="3" max="3"/>
  </cols>
  <sheetData>
    <row r="1">
      <c r="A1" s="1" t="inlineStr">
        <is>
          <t>Month-End Provisions (Net Fee Income)</t>
        </is>
      </c>
    </row>
    <row r="2">
      <c r="A2" s="2" t="inlineStr">
        <is>
          <t>Paste your monthly NFI provisions extract here.</t>
        </is>
      </c>
    </row>
    <row r="4">
      <c r="A4" s="5" t="inlineStr">
        <is>
          <t>Matter Code</t>
        </is>
      </c>
      <c r="B4" s="5" t="inlineStr">
        <is>
          <t>Month</t>
        </is>
      </c>
      <c r="C4" s="5" t="inlineStr">
        <is>
          <t>NFI Amount (£)</t>
        </is>
      </c>
    </row>
    <row r="5">
      <c r="A5" s="6" t="inlineStr">
        <is>
          <t>M-1001</t>
        </is>
      </c>
      <c r="B5" s="11" t="n">
        <v>46266</v>
      </c>
      <c r="C5" s="8" t="n">
        <v>12000</v>
      </c>
    </row>
    <row r="6">
      <c r="A6" s="6" t="inlineStr">
        <is>
          <t>M-1001</t>
        </is>
      </c>
      <c r="B6" s="11" t="n">
        <v>46296</v>
      </c>
      <c r="C6" s="8" t="n">
        <v>15000</v>
      </c>
    </row>
    <row r="7">
      <c r="A7" s="6" t="inlineStr">
        <is>
          <t>M-1001</t>
        </is>
      </c>
      <c r="B7" s="11" t="n">
        <v>46327</v>
      </c>
      <c r="C7" s="8" t="n">
        <v>26000</v>
      </c>
    </row>
    <row r="8">
      <c r="A8" s="6" t="inlineStr">
        <is>
          <t>M-1002</t>
        </is>
      </c>
      <c r="B8" s="11" t="n">
        <v>46296</v>
      </c>
      <c r="C8" s="8" t="n">
        <v>13500</v>
      </c>
    </row>
    <row r="9">
      <c r="A9" s="6" t="inlineStr">
        <is>
          <t>M-1003</t>
        </is>
      </c>
      <c r="B9" s="11" t="n">
        <v>46266</v>
      </c>
      <c r="C9" s="8" t="n">
        <v>12000</v>
      </c>
    </row>
    <row r="10">
      <c r="A10" s="6" t="inlineStr">
        <is>
          <t>M-1003</t>
        </is>
      </c>
      <c r="B10" s="11" t="n">
        <v>46296</v>
      </c>
      <c r="C10" s="8" t="n">
        <v>11000</v>
      </c>
    </row>
    <row r="11">
      <c r="A11" s="6" t="n"/>
      <c r="B11" s="11" t="n"/>
      <c r="C11" s="8" t="n"/>
    </row>
    <row r="12">
      <c r="A12" s="6" t="n"/>
      <c r="B12" s="11" t="n"/>
      <c r="C12" s="8" t="n"/>
    </row>
    <row r="13">
      <c r="A13" s="6" t="n"/>
      <c r="B13" s="11" t="n"/>
      <c r="C13" s="8" t="n"/>
    </row>
    <row r="14">
      <c r="A14" s="6" t="n"/>
      <c r="B14" s="11" t="n"/>
      <c r="C14" s="8" t="n"/>
    </row>
    <row r="15">
      <c r="A15" s="6" t="n"/>
      <c r="B15" s="11" t="n"/>
      <c r="C15" s="8" t="n"/>
    </row>
    <row r="16">
      <c r="A16" s="6" t="n"/>
      <c r="B16" s="11" t="n"/>
      <c r="C16" s="8" t="n"/>
    </row>
    <row r="17">
      <c r="A17" s="6" t="n"/>
      <c r="B17" s="11" t="n"/>
      <c r="C17" s="8" t="n"/>
    </row>
    <row r="18">
      <c r="A18" s="6" t="n"/>
      <c r="B18" s="11" t="n"/>
      <c r="C18" s="8" t="n"/>
    </row>
    <row r="19">
      <c r="A19" s="6" t="n"/>
      <c r="B19" s="11" t="n"/>
      <c r="C19" s="8" t="n"/>
    </row>
    <row r="20">
      <c r="A20" s="6" t="n"/>
      <c r="B20" s="11" t="n"/>
      <c r="C20" s="8" t="n"/>
    </row>
    <row r="21">
      <c r="A21" s="6" t="n"/>
      <c r="B21" s="11" t="n"/>
      <c r="C21" s="8" t="n"/>
    </row>
    <row r="22">
      <c r="A22" s="6" t="n"/>
      <c r="B22" s="11" t="n"/>
      <c r="C22" s="8" t="n"/>
    </row>
    <row r="23">
      <c r="A23" s="6" t="n"/>
      <c r="B23" s="11" t="n"/>
      <c r="C23" s="8" t="n"/>
    </row>
    <row r="24">
      <c r="A24" s="6" t="n"/>
      <c r="B24" s="11" t="n"/>
      <c r="C24" s="8" t="n"/>
    </row>
    <row r="25">
      <c r="A25" s="6" t="n"/>
      <c r="B25" s="11" t="n"/>
      <c r="C25" s="8" t="n"/>
    </row>
    <row r="26">
      <c r="A26" s="6" t="n"/>
      <c r="B26" s="11" t="n"/>
      <c r="C26" s="8" t="n"/>
    </row>
    <row r="27">
      <c r="A27" s="6" t="n"/>
      <c r="B27" s="11" t="n"/>
      <c r="C27" s="8" t="n"/>
    </row>
    <row r="28">
      <c r="A28" s="6" t="n"/>
      <c r="B28" s="11" t="n"/>
      <c r="C28" s="8" t="n"/>
    </row>
  </sheetData>
  <dataValidations count="1">
    <dataValidation sqref="A5:A28" showDropDown="0" showInputMessage="0" showErrorMessage="0" allowBlank="1" type="list">
      <formula1>='Matters Register'!$A$5:$A$44</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O29"/>
  <sheetViews>
    <sheetView showGridLines="0" workbookViewId="0">
      <selection activeCell="A1" sqref="A1"/>
    </sheetView>
  </sheetViews>
  <sheetFormatPr baseColWidth="8" defaultRowHeight="15"/>
  <cols>
    <col width="20" customWidth="1" min="1" max="1"/>
    <col width="22" customWidth="1" min="2" max="2"/>
    <col width="16" customWidth="1" min="3" max="3"/>
    <col width="14" customWidth="1" min="4" max="4"/>
    <col width="3" customWidth="1" min="5" max="5"/>
    <col width="12" customWidth="1" min="6" max="6"/>
    <col width="20" customWidth="1" min="7" max="7"/>
    <col width="18" customWidth="1" min="8" max="8"/>
    <col width="11" customWidth="1" min="9" max="9"/>
    <col width="16" customWidth="1" min="10" max="10"/>
    <col width="16" customWidth="1" min="11" max="11"/>
    <col width="16" customWidth="1" min="12" max="12"/>
    <col width="12" customWidth="1" min="13" max="13"/>
    <col width="12" customWidth="1" min="14" max="14"/>
    <col width="16" customWidth="1" min="15" max="15"/>
  </cols>
  <sheetData>
    <row r="1">
      <c r="A1" s="1" t="inlineStr">
        <is>
          <t>Portfolio Dashboard</t>
        </is>
      </c>
    </row>
    <row r="2">
      <c r="A2" s="2" t="inlineStr">
        <is>
          <t>Financial year September 2026 – August 2027.</t>
        </is>
      </c>
    </row>
    <row r="4" ht="30" customHeight="1">
      <c r="A4" s="5" t="inlineStr">
        <is>
          <t>Month</t>
        </is>
      </c>
      <c r="B4" s="5" t="inlineStr">
        <is>
          <t>Forecast (£)</t>
        </is>
      </c>
      <c r="C4" s="5" t="inlineStr">
        <is>
          <t>Actual NFI (£)</t>
        </is>
      </c>
      <c r="D4" s="5" t="inlineStr">
        <is>
          <t>Variance (£)</t>
        </is>
      </c>
      <c r="F4" s="5" t="inlineStr">
        <is>
          <t>Matter Code</t>
        </is>
      </c>
      <c r="G4" s="5" t="inlineStr">
        <is>
          <t>Client</t>
        </is>
      </c>
      <c r="H4" s="5" t="inlineStr">
        <is>
          <t>Engagement Manager</t>
        </is>
      </c>
      <c r="I4" s="5" t="inlineStr">
        <is>
          <t>Total Fee (£)</t>
        </is>
      </c>
      <c r="J4" s="5" t="inlineStr">
        <is>
          <t>Forecast to Date (£)</t>
        </is>
      </c>
      <c r="K4" s="5" t="inlineStr">
        <is>
          <t>Actual to Date (£)</t>
        </is>
      </c>
      <c r="L4" s="5" t="inlineStr">
        <is>
          <t>Remaining Fee (£)</t>
        </is>
      </c>
      <c r="M4" s="5" t="inlineStr">
        <is>
          <t>% Recognised</t>
        </is>
      </c>
      <c r="N4" s="5" t="inlineStr">
        <is>
          <t>Open Var (#)</t>
        </is>
      </c>
      <c r="O4" s="5" t="inlineStr">
        <is>
          <t>Unallocated Fee (£)</t>
        </is>
      </c>
    </row>
    <row r="5">
      <c r="A5" s="22" t="n">
        <v>46266</v>
      </c>
      <c r="B5" s="17">
        <f>SUMIFS('Forecast Log'!$D$5:$D$64,'Forecast Log'!$B$5:$B$64,$A5)</f>
        <v>24000</v>
      </c>
      <c r="C5" s="17">
        <f>SUMIFS('Month-End Provisions'!$C$5:$C$1004,'Month-End Provisions'!$B$5:$B$1004,$A5)</f>
        <v>24000</v>
      </c>
      <c r="D5" s="17">
        <f>$C5-$B5</f>
        <v>0</v>
      </c>
      <c r="F5" s="23" t="str">
        <f>IF('Matters Register'!$A5="","",'Matters Register'!$A5)</f>
        <v>M-1001</v>
      </c>
      <c r="G5" s="18" t="str">
        <f>IF($F5="","",_xlfn._xlws.XLOOKUP($F5,'Matters Register'!$A$5:$A$44,'Matters Register'!$B$5:$B$44,""))</f>
        <v>Aurora Retail Group</v>
      </c>
      <c r="H5" s="18" t="str">
        <f>IF($F5="","",_xlfn._xlws.XLOOKUP($F5,'Matters Register'!$A$5:$A$44,'Matters Register'!$D$5:$D$44,""))</f>
        <v>Priya Shah</v>
      </c>
      <c r="I5" s="24">
        <f>IF($F5="","",_xlfn._xlws.XLOOKUP($F5,'Matters Register'!$A$5:$A$44,'Matters Register'!$E$5:$E$44,""))</f>
        <v>120000</v>
      </c>
      <c r="J5" s="17">
        <f>IF($F5="","",SUMIFS('Forecast Log'!$D$5:$D$64,'Forecast Log'!$A$5:$A$64,$F5))</f>
        <v>54000</v>
      </c>
      <c r="K5" s="17">
        <f>IF($F5="","",SUMIFS('Month-End Provisions'!$C$5:$C$1004,'Month-End Provisions'!$A$5:$A$1004,$F5))</f>
        <v>53000</v>
      </c>
      <c r="L5" s="17">
        <f>IF($F5="","",I5-K5)</f>
        <v>67000</v>
      </c>
      <c r="M5" s="25">
        <f>IF(OR($F5="",I5=0),"",K5/I5)</f>
        <v>0.44166666666666665</v>
      </c>
      <c r="N5" s="26">
        <f>IF($F5="","",COUNTIFS('Forecast Log'!$A$5:$A$64,$F5,'Forecast Log'!$P$5:$P$64,"YES"))</f>
        <v>2</v>
      </c>
      <c r="O5" s="17">
        <f>IF($F5="","",L5-SUMPRODUCT(('Forecast Log'!$A$5:$A$64=$F5)*('Forecast Log'!$G$5:$G$64="")*'Forecast Log'!$D$5:$D$64))</f>
        <v>67000</v>
      </c>
    </row>
    <row r="6">
      <c r="A6" s="22" t="n">
        <v>46296</v>
      </c>
      <c r="B6" s="17">
        <f>SUMIFS('Forecast Log'!$D$5:$D$64,'Forecast Log'!$B$5:$B$64,$A6)</f>
        <v>43500</v>
      </c>
      <c r="C6" s="17">
        <f>SUMIFS('Month-End Provisions'!$C$5:$C$1004,'Month-End Provisions'!$B$5:$B$1004,$A6)</f>
        <v>39500</v>
      </c>
      <c r="D6" s="17">
        <f>$C6-$B6</f>
        <v>-4000</v>
      </c>
      <c r="F6" s="23" t="str">
        <f>IF('Matters Register'!$A6="","",'Matters Register'!$A6)</f>
        <v>M-1002</v>
      </c>
      <c r="G6" s="18" t="str">
        <f>IF($F6="","",_xlfn._xlws.XLOOKUP($F6,'Matters Register'!$A$5:$A$44,'Matters Register'!$B$5:$B$44,""))</f>
        <v>Northwind Energy</v>
      </c>
      <c r="H6" s="18" t="str">
        <f>IF($F6="","",_xlfn._xlws.XLOOKUP($F6,'Matters Register'!$A$5:$A$44,'Matters Register'!$D$5:$D$44,""))</f>
        <v>James Okoro</v>
      </c>
      <c r="I6" s="24">
        <f>IF($F6="","",_xlfn._xlws.XLOOKUP($F6,'Matters Register'!$A$5:$A$44,'Matters Register'!$E$5:$E$44,""))</f>
        <v>90000</v>
      </c>
      <c r="J6" s="17">
        <f>IF($F6="","",SUMIFS('Forecast Log'!$D$5:$D$64,'Forecast Log'!$A$5:$A$64,$F6))</f>
        <v>27000</v>
      </c>
      <c r="K6" s="17">
        <f>IF($F6="","",SUMIFS('Month-End Provisions'!$C$5:$C$1004,'Month-End Provisions'!$A$5:$A$1004,$F6))</f>
        <v>13500</v>
      </c>
      <c r="L6" s="17">
        <f>IF($F6="","",I6-K6)</f>
        <v>76500</v>
      </c>
      <c r="M6" s="25">
        <f>IF(OR($F6="",I6=0),"",K6/I6)</f>
        <v>0.15</v>
      </c>
      <c r="N6" s="26">
        <f>IF($F6="","",COUNTIFS('Forecast Log'!$A$5:$A$64,$F6,'Forecast Log'!$P$5:$P$64,"YES"))</f>
        <v>0</v>
      </c>
      <c r="O6" s="17">
        <f>IF($F6="","",L6-SUMPRODUCT(('Forecast Log'!$A$5:$A$64=$F6)*('Forecast Log'!$G$5:$G$64="")*'Forecast Log'!$D$5:$D$64))</f>
        <v>63000</v>
      </c>
    </row>
    <row r="7">
      <c r="A7" s="22" t="n">
        <v>46327</v>
      </c>
      <c r="B7" s="17">
        <f>SUMIFS('Forecast Log'!$D$5:$D$64,'Forecast Log'!$B$5:$B$64,$A7)</f>
        <v>52500</v>
      </c>
      <c r="C7" s="17">
        <f>SUMIFS('Month-End Provisions'!$C$5:$C$1004,'Month-End Provisions'!$B$5:$B$1004,$A7)</f>
        <v>26000</v>
      </c>
      <c r="D7" s="17">
        <f>$C7-$B7</f>
        <v>-26500</v>
      </c>
      <c r="F7" s="23" t="str">
        <f>IF('Matters Register'!$A7="","",'Matters Register'!$A7)</f>
        <v>M-1003</v>
      </c>
      <c r="G7" s="18" t="str">
        <f>IF($F7="","",_xlfn._xlws.XLOOKUP($F7,'Matters Register'!$A$5:$A$44,'Matters Register'!$B$5:$B$44,""))</f>
        <v>Meridian Health</v>
      </c>
      <c r="H7" s="18" t="str">
        <f>IF($F7="","",_xlfn._xlws.XLOOKUP($F7,'Matters Register'!$A$5:$A$44,'Matters Register'!$D$5:$D$44,""))</f>
        <v>Priya Shah</v>
      </c>
      <c r="I7" s="24">
        <f>IF($F7="","",_xlfn._xlws.XLOOKUP($F7,'Matters Register'!$A$5:$A$44,'Matters Register'!$E$5:$E$44,""))</f>
        <v>60000</v>
      </c>
      <c r="J7" s="17">
        <f>IF($F7="","",SUMIFS('Forecast Log'!$D$5:$D$64,'Forecast Log'!$A$5:$A$64,$F7))</f>
        <v>39000</v>
      </c>
      <c r="K7" s="17">
        <f>IF($F7="","",SUMIFS('Month-End Provisions'!$C$5:$C$1004,'Month-End Provisions'!$A$5:$A$1004,$F7))</f>
        <v>23000</v>
      </c>
      <c r="L7" s="17">
        <f>IF($F7="","",I7-K7)</f>
        <v>37000</v>
      </c>
      <c r="M7" s="25">
        <f>IF(OR($F7="",I7=0),"",K7/I7)</f>
        <v>0.38333333333333336</v>
      </c>
      <c r="N7" s="26">
        <f>IF($F7="","",COUNTIFS('Forecast Log'!$A$5:$A$64,$F7,'Forecast Log'!$P$5:$P$64,"YES"))</f>
        <v>0</v>
      </c>
      <c r="O7" s="17">
        <f>IF($F7="","",L7-SUMPRODUCT(('Forecast Log'!$A$5:$A$64=$F7)*('Forecast Log'!$G$5:$G$64="")*'Forecast Log'!$D$5:$D$64))</f>
        <v>22000</v>
      </c>
    </row>
    <row r="8">
      <c r="A8" s="22" t="n">
        <v>46357</v>
      </c>
      <c r="B8" s="17">
        <f>SUMIFS('Forecast Log'!$D$5:$D$64,'Forecast Log'!$B$5:$B$64,$A8)</f>
        <v>0</v>
      </c>
      <c r="C8" s="17">
        <f>SUMIFS('Month-End Provisions'!$C$5:$C$1004,'Month-End Provisions'!$B$5:$B$1004,$A8)</f>
        <v>0</v>
      </c>
      <c r="D8" s="17">
        <f>$C8-$B8</f>
        <v>0</v>
      </c>
      <c r="F8" s="23" t="str">
        <f>IF('Matters Register'!$A8="","",'Matters Register'!$A8)</f>
        <v/>
      </c>
      <c r="G8" s="18" t="str">
        <f>IF($F8="","",_xlfn._xlws.XLOOKUP($F8,'Matters Register'!$A$5:$A$44,'Matters Register'!$B$5:$B$44,""))</f>
        <v/>
      </c>
      <c r="H8" s="18" t="str">
        <f>IF($F8="","",_xlfn._xlws.XLOOKUP($F8,'Matters Register'!$A$5:$A$44,'Matters Register'!$D$5:$D$44,""))</f>
        <v/>
      </c>
      <c r="I8" s="24" t="str">
        <f>IF($F8="","",_xlfn._xlws.XLOOKUP($F8,'Matters Register'!$A$5:$A$44,'Matters Register'!$E$5:$E$44,""))</f>
        <v/>
      </c>
      <c r="J8" s="17" t="str">
        <f>IF($F8="","",SUMIFS('Forecast Log'!$D$5:$D$64,'Forecast Log'!$A$5:$A$64,$F8))</f>
        <v/>
      </c>
      <c r="K8" s="17" t="str">
        <f>IF($F8="","",SUMIFS('Month-End Provisions'!$C$5:$C$1004,'Month-End Provisions'!$A$5:$A$1004,$F8))</f>
        <v/>
      </c>
      <c r="L8" s="17" t="str">
        <f>IF($F8="","",I8-K8)</f>
        <v/>
      </c>
      <c r="M8" s="25" t="str">
        <f>IF(OR($F8="",I8=0),"",K8/I8)</f>
        <v/>
      </c>
      <c r="N8" s="26" t="str">
        <f>IF($F8="","",COUNTIFS('Forecast Log'!$A$5:$A$64,$F8,'Forecast Log'!$P$5:$P$64,"YES"))</f>
        <v/>
      </c>
      <c r="O8" s="17" t="str">
        <f>IF($F8="","",L8-SUMPRODUCT(('Forecast Log'!$A$5:$A$64=$F8)*('Forecast Log'!$G$5:$G$64="")*'Forecast Log'!$D$5:$D$64))</f>
        <v/>
      </c>
    </row>
    <row r="9">
      <c r="A9" s="22" t="n">
        <v>46388</v>
      </c>
      <c r="B9" s="17">
        <f>SUMIFS('Forecast Log'!$D$5:$D$64,'Forecast Log'!$B$5:$B$64,$A9)</f>
        <v>0</v>
      </c>
      <c r="C9" s="17">
        <f>SUMIFS('Month-End Provisions'!$C$5:$C$1004,'Month-End Provisions'!$B$5:$B$1004,$A9)</f>
        <v>0</v>
      </c>
      <c r="D9" s="17">
        <f>$C9-$B9</f>
        <v>0</v>
      </c>
      <c r="F9" s="23" t="str">
        <f>IF('Matters Register'!$A9="","",'Matters Register'!$A9)</f>
        <v/>
      </c>
      <c r="G9" s="18" t="str">
        <f>IF($F9="","",_xlfn._xlws.XLOOKUP($F9,'Matters Register'!$A$5:$A$44,'Matters Register'!$B$5:$B$44,""))</f>
        <v/>
      </c>
      <c r="H9" s="18" t="str">
        <f>IF($F9="","",_xlfn._xlws.XLOOKUP($F9,'Matters Register'!$A$5:$A$44,'Matters Register'!$D$5:$D$44,""))</f>
        <v/>
      </c>
      <c r="I9" s="24" t="str">
        <f>IF($F9="","",_xlfn._xlws.XLOOKUP($F9,'Matters Register'!$A$5:$A$44,'Matters Register'!$E$5:$E$44,""))</f>
        <v/>
      </c>
      <c r="J9" s="17" t="str">
        <f>IF($F9="","",SUMIFS('Forecast Log'!$D$5:$D$64,'Forecast Log'!$A$5:$A$64,$F9))</f>
        <v/>
      </c>
      <c r="K9" s="17" t="str">
        <f>IF($F9="","",SUMIFS('Month-End Provisions'!$C$5:$C$1004,'Month-End Provisions'!$A$5:$A$1004,$F9))</f>
        <v/>
      </c>
      <c r="L9" s="17" t="str">
        <f>IF($F9="","",I9-K9)</f>
        <v/>
      </c>
      <c r="M9" s="25" t="str">
        <f>IF(OR($F9="",I9=0),"",K9/I9)</f>
        <v/>
      </c>
      <c r="N9" s="26" t="str">
        <f>IF($F9="","",COUNTIFS('Forecast Log'!$A$5:$A$64,$F9,'Forecast Log'!$P$5:$P$64,"YES"))</f>
        <v/>
      </c>
      <c r="O9" s="17" t="str">
        <f>IF($F9="","",L9-SUMPRODUCT(('Forecast Log'!$A$5:$A$64=$F9)*('Forecast Log'!$G$5:$G$64="")*'Forecast Log'!$D$5:$D$64))</f>
        <v/>
      </c>
    </row>
    <row r="10">
      <c r="A10" s="22" t="n">
        <v>46419</v>
      </c>
      <c r="B10" s="17">
        <f>SUMIFS('Forecast Log'!$D$5:$D$64,'Forecast Log'!$B$5:$B$64,$A10)</f>
        <v>0</v>
      </c>
      <c r="C10" s="17">
        <f>SUMIFS('Month-End Provisions'!$C$5:$C$1004,'Month-End Provisions'!$B$5:$B$1004,$A10)</f>
        <v>0</v>
      </c>
      <c r="D10" s="17">
        <f>$C10-$B10</f>
        <v>0</v>
      </c>
      <c r="F10" s="23" t="str">
        <f>IF('Matters Register'!$A10="","",'Matters Register'!$A10)</f>
        <v/>
      </c>
      <c r="G10" s="18" t="str">
        <f>IF($F10="","",_xlfn._xlws.XLOOKUP($F10,'Matters Register'!$A$5:$A$44,'Matters Register'!$B$5:$B$44,""))</f>
        <v/>
      </c>
      <c r="H10" s="18" t="str">
        <f>IF($F10="","",_xlfn._xlws.XLOOKUP($F10,'Matters Register'!$A$5:$A$44,'Matters Register'!$D$5:$D$44,""))</f>
        <v/>
      </c>
      <c r="I10" s="24" t="str">
        <f>IF($F10="","",_xlfn._xlws.XLOOKUP($F10,'Matters Register'!$A$5:$A$44,'Matters Register'!$E$5:$E$44,""))</f>
        <v/>
      </c>
      <c r="J10" s="17" t="str">
        <f>IF($F10="","",SUMIFS('Forecast Log'!$D$5:$D$64,'Forecast Log'!$A$5:$A$64,$F10))</f>
        <v/>
      </c>
      <c r="K10" s="17" t="str">
        <f>IF($F10="","",SUMIFS('Month-End Provisions'!$C$5:$C$1004,'Month-End Provisions'!$A$5:$A$1004,$F10))</f>
        <v/>
      </c>
      <c r="L10" s="17" t="str">
        <f>IF($F10="","",I10-K10)</f>
        <v/>
      </c>
      <c r="M10" s="25" t="str">
        <f>IF(OR($F10="",I10=0),"",K10/I10)</f>
        <v/>
      </c>
      <c r="N10" s="26" t="str">
        <f>IF($F10="","",COUNTIFS('Forecast Log'!$A$5:$A$64,$F10,'Forecast Log'!$P$5:$P$64,"YES"))</f>
        <v/>
      </c>
      <c r="O10" s="17" t="str">
        <f>IF($F10="","",L10-SUMPRODUCT(('Forecast Log'!$A$5:$A$64=$F10)*('Forecast Log'!$G$5:$G$64="")*'Forecast Log'!$D$5:$D$64))</f>
        <v/>
      </c>
    </row>
    <row r="11">
      <c r="A11" s="22" t="n">
        <v>46447</v>
      </c>
      <c r="B11" s="17">
        <f>SUMIFS('Forecast Log'!$D$5:$D$64,'Forecast Log'!$B$5:$B$64,$A11)</f>
        <v>0</v>
      </c>
      <c r="C11" s="17">
        <f>SUMIFS('Month-End Provisions'!$C$5:$C$1004,'Month-End Provisions'!$B$5:$B$1004,$A11)</f>
        <v>0</v>
      </c>
      <c r="D11" s="17">
        <f>$C11-$B11</f>
        <v>0</v>
      </c>
      <c r="F11" s="23" t="str">
        <f>IF('Matters Register'!$A11="","",'Matters Register'!$A11)</f>
        <v/>
      </c>
      <c r="G11" s="18" t="str">
        <f>IF($F11="","",_xlfn._xlws.XLOOKUP($F11,'Matters Register'!$A$5:$A$44,'Matters Register'!$B$5:$B$44,""))</f>
        <v/>
      </c>
      <c r="H11" s="18" t="str">
        <f>IF($F11="","",_xlfn._xlws.XLOOKUP($F11,'Matters Register'!$A$5:$A$44,'Matters Register'!$D$5:$D$44,""))</f>
        <v/>
      </c>
      <c r="I11" s="24" t="str">
        <f>IF($F11="","",_xlfn._xlws.XLOOKUP($F11,'Matters Register'!$A$5:$A$44,'Matters Register'!$E$5:$E$44,""))</f>
        <v/>
      </c>
      <c r="J11" s="17" t="str">
        <f>IF($F11="","",SUMIFS('Forecast Log'!$D$5:$D$64,'Forecast Log'!$A$5:$A$64,$F11))</f>
        <v/>
      </c>
      <c r="K11" s="17" t="str">
        <f>IF($F11="","",SUMIFS('Month-End Provisions'!$C$5:$C$1004,'Month-End Provisions'!$A$5:$A$1004,$F11))</f>
        <v/>
      </c>
      <c r="L11" s="17" t="str">
        <f>IF($F11="","",I11-K11)</f>
        <v/>
      </c>
      <c r="M11" s="25" t="str">
        <f>IF(OR($F11="",I11=0),"",K11/I11)</f>
        <v/>
      </c>
      <c r="N11" s="26" t="str">
        <f>IF($F11="","",COUNTIFS('Forecast Log'!$A$5:$A$64,$F11,'Forecast Log'!$P$5:$P$64,"YES"))</f>
        <v/>
      </c>
      <c r="O11" s="17" t="str">
        <f>IF($F11="","",L11-SUMPRODUCT(('Forecast Log'!$A$5:$A$64=$F11)*('Forecast Log'!$G$5:$G$64="")*'Forecast Log'!$D$5:$D$64))</f>
        <v/>
      </c>
    </row>
    <row r="12">
      <c r="A12" s="22" t="n">
        <v>46478</v>
      </c>
      <c r="B12" s="17">
        <f>SUMIFS('Forecast Log'!$D$5:$D$64,'Forecast Log'!$B$5:$B$64,$A12)</f>
        <v>0</v>
      </c>
      <c r="C12" s="17">
        <f>SUMIFS('Month-End Provisions'!$C$5:$C$1004,'Month-End Provisions'!$B$5:$B$1004,$A12)</f>
        <v>0</v>
      </c>
      <c r="D12" s="17">
        <f>$C12-$B12</f>
        <v>0</v>
      </c>
      <c r="F12" s="23" t="str">
        <f>IF('Matters Register'!$A12="","",'Matters Register'!$A12)</f>
        <v/>
      </c>
      <c r="G12" s="18" t="str">
        <f>IF($F12="","",_xlfn._xlws.XLOOKUP($F12,'Matters Register'!$A$5:$A$44,'Matters Register'!$B$5:$B$44,""))</f>
        <v/>
      </c>
      <c r="H12" s="18" t="str">
        <f>IF($F12="","",_xlfn._xlws.XLOOKUP($F12,'Matters Register'!$A$5:$A$44,'Matters Register'!$D$5:$D$44,""))</f>
        <v/>
      </c>
      <c r="I12" s="24" t="str">
        <f>IF($F12="","",_xlfn._xlws.XLOOKUP($F12,'Matters Register'!$A$5:$A$44,'Matters Register'!$E$5:$E$44,""))</f>
        <v/>
      </c>
      <c r="J12" s="17" t="str">
        <f>IF($F12="","",SUMIFS('Forecast Log'!$D$5:$D$64,'Forecast Log'!$A$5:$A$64,$F12))</f>
        <v/>
      </c>
      <c r="K12" s="17" t="str">
        <f>IF($F12="","",SUMIFS('Month-End Provisions'!$C$5:$C$1004,'Month-End Provisions'!$A$5:$A$1004,$F12))</f>
        <v/>
      </c>
      <c r="L12" s="17" t="str">
        <f>IF($F12="","",I12-K12)</f>
        <v/>
      </c>
      <c r="M12" s="25" t="str">
        <f>IF(OR($F12="",I12=0),"",K12/I12)</f>
        <v/>
      </c>
      <c r="N12" s="26" t="str">
        <f>IF($F12="","",COUNTIFS('Forecast Log'!$A$5:$A$64,$F12,'Forecast Log'!$P$5:$P$64,"YES"))</f>
        <v/>
      </c>
      <c r="O12" s="17" t="str">
        <f>IF($F12="","",L12-SUMPRODUCT(('Forecast Log'!$A$5:$A$64=$F12)*('Forecast Log'!$G$5:$G$64="")*'Forecast Log'!$D$5:$D$64))</f>
        <v/>
      </c>
    </row>
    <row r="13">
      <c r="A13" s="22" t="n">
        <v>46508</v>
      </c>
      <c r="B13" s="17">
        <f>SUMIFS('Forecast Log'!$D$5:$D$64,'Forecast Log'!$B$5:$B$64,$A13)</f>
        <v>0</v>
      </c>
      <c r="C13" s="17">
        <f>SUMIFS('Month-End Provisions'!$C$5:$C$1004,'Month-End Provisions'!$B$5:$B$1004,$A13)</f>
        <v>0</v>
      </c>
      <c r="D13" s="17">
        <f>$C13-$B13</f>
        <v>0</v>
      </c>
      <c r="F13" s="23" t="str">
        <f>IF('Matters Register'!$A13="","",'Matters Register'!$A13)</f>
        <v/>
      </c>
      <c r="G13" s="18" t="str">
        <f>IF($F13="","",_xlfn._xlws.XLOOKUP($F13,'Matters Register'!$A$5:$A$44,'Matters Register'!$B$5:$B$44,""))</f>
        <v/>
      </c>
      <c r="H13" s="18" t="str">
        <f>IF($F13="","",_xlfn._xlws.XLOOKUP($F13,'Matters Register'!$A$5:$A$44,'Matters Register'!$D$5:$D$44,""))</f>
        <v/>
      </c>
      <c r="I13" s="24" t="str">
        <f>IF($F13="","",_xlfn._xlws.XLOOKUP($F13,'Matters Register'!$A$5:$A$44,'Matters Register'!$E$5:$E$44,""))</f>
        <v/>
      </c>
      <c r="J13" s="17" t="str">
        <f>IF($F13="","",SUMIFS('Forecast Log'!$D$5:$D$64,'Forecast Log'!$A$5:$A$64,$F13))</f>
        <v/>
      </c>
      <c r="K13" s="17" t="str">
        <f>IF($F13="","",SUMIFS('Month-End Provisions'!$C$5:$C$1004,'Month-End Provisions'!$A$5:$A$1004,$F13))</f>
        <v/>
      </c>
      <c r="L13" s="17" t="str">
        <f>IF($F13="","",I13-K13)</f>
        <v/>
      </c>
      <c r="M13" s="25" t="str">
        <f>IF(OR($F13="",I13=0),"",K13/I13)</f>
        <v/>
      </c>
      <c r="N13" s="26" t="str">
        <f>IF($F13="","",COUNTIFS('Forecast Log'!$A$5:$A$64,$F13,'Forecast Log'!$P$5:$P$64,"YES"))</f>
        <v/>
      </c>
      <c r="O13" s="17" t="str">
        <f>IF($F13="","",L13-SUMPRODUCT(('Forecast Log'!$A$5:$A$64=$F13)*('Forecast Log'!$G$5:$G$64="")*'Forecast Log'!$D$5:$D$64))</f>
        <v/>
      </c>
    </row>
    <row r="14">
      <c r="A14" s="22" t="n">
        <v>46539</v>
      </c>
      <c r="B14" s="17">
        <f>SUMIFS('Forecast Log'!$D$5:$D$64,'Forecast Log'!$B$5:$B$64,$A14)</f>
        <v>0</v>
      </c>
      <c r="C14" s="17">
        <f>SUMIFS('Month-End Provisions'!$C$5:$C$1004,'Month-End Provisions'!$B$5:$B$1004,$A14)</f>
        <v>0</v>
      </c>
      <c r="D14" s="17">
        <f>$C14-$B14</f>
        <v>0</v>
      </c>
      <c r="F14" s="23" t="str">
        <f>IF('Matters Register'!$A14="","",'Matters Register'!$A14)</f>
        <v/>
      </c>
      <c r="G14" s="18" t="str">
        <f>IF($F14="","",_xlfn._xlws.XLOOKUP($F14,'Matters Register'!$A$5:$A$44,'Matters Register'!$B$5:$B$44,""))</f>
        <v/>
      </c>
      <c r="H14" s="18" t="str">
        <f>IF($F14="","",_xlfn._xlws.XLOOKUP($F14,'Matters Register'!$A$5:$A$44,'Matters Register'!$D$5:$D$44,""))</f>
        <v/>
      </c>
      <c r="I14" s="24" t="str">
        <f>IF($F14="","",_xlfn._xlws.XLOOKUP($F14,'Matters Register'!$A$5:$A$44,'Matters Register'!$E$5:$E$44,""))</f>
        <v/>
      </c>
      <c r="J14" s="17" t="str">
        <f>IF($F14="","",SUMIFS('Forecast Log'!$D$5:$D$64,'Forecast Log'!$A$5:$A$64,$F14))</f>
        <v/>
      </c>
      <c r="K14" s="17" t="str">
        <f>IF($F14="","",SUMIFS('Month-End Provisions'!$C$5:$C$1004,'Month-End Provisions'!$A$5:$A$1004,$F14))</f>
        <v/>
      </c>
      <c r="L14" s="17" t="str">
        <f>IF($F14="","",I14-K14)</f>
        <v/>
      </c>
      <c r="M14" s="25" t="str">
        <f>IF(OR($F14="",I14=0),"",K14/I14)</f>
        <v/>
      </c>
      <c r="N14" s="26" t="str">
        <f>IF($F14="","",COUNTIFS('Forecast Log'!$A$5:$A$64,$F14,'Forecast Log'!$P$5:$P$64,"YES"))</f>
        <v/>
      </c>
      <c r="O14" s="17" t="str">
        <f>IF($F14="","",L14-SUMPRODUCT(('Forecast Log'!$A$5:$A$64=$F14)*('Forecast Log'!$G$5:$G$64="")*'Forecast Log'!$D$5:$D$64))</f>
        <v/>
      </c>
    </row>
    <row r="15">
      <c r="A15" s="22" t="n">
        <v>46569</v>
      </c>
      <c r="B15" s="17">
        <f>SUMIFS('Forecast Log'!$D$5:$D$64,'Forecast Log'!$B$5:$B$64,$A15)</f>
        <v>0</v>
      </c>
      <c r="C15" s="17">
        <f>SUMIFS('Month-End Provisions'!$C$5:$C$1004,'Month-End Provisions'!$B$5:$B$1004,$A15)</f>
        <v>0</v>
      </c>
      <c r="D15" s="17">
        <f>$C15-$B15</f>
        <v>0</v>
      </c>
      <c r="F15" s="23" t="str">
        <f>IF('Matters Register'!$A15="","",'Matters Register'!$A15)</f>
        <v/>
      </c>
      <c r="G15" s="18" t="str">
        <f>IF($F15="","",_xlfn._xlws.XLOOKUP($F15,'Matters Register'!$A$5:$A$44,'Matters Register'!$B$5:$B$44,""))</f>
        <v/>
      </c>
      <c r="H15" s="18" t="str">
        <f>IF($F15="","",_xlfn._xlws.XLOOKUP($F15,'Matters Register'!$A$5:$A$44,'Matters Register'!$D$5:$D$44,""))</f>
        <v/>
      </c>
      <c r="I15" s="24" t="str">
        <f>IF($F15="","",_xlfn._xlws.XLOOKUP($F15,'Matters Register'!$A$5:$A$44,'Matters Register'!$E$5:$E$44,""))</f>
        <v/>
      </c>
      <c r="J15" s="17" t="str">
        <f>IF($F15="","",SUMIFS('Forecast Log'!$D$5:$D$64,'Forecast Log'!$A$5:$A$64,$F15))</f>
        <v/>
      </c>
      <c r="K15" s="17" t="str">
        <f>IF($F15="","",SUMIFS('Month-End Provisions'!$C$5:$C$1004,'Month-End Provisions'!$A$5:$A$1004,$F15))</f>
        <v/>
      </c>
      <c r="L15" s="17" t="str">
        <f>IF($F15="","",I15-K15)</f>
        <v/>
      </c>
      <c r="M15" s="25" t="str">
        <f>IF(OR($F15="",I15=0),"",K15/I15)</f>
        <v/>
      </c>
      <c r="N15" s="26" t="str">
        <f>IF($F15="","",COUNTIFS('Forecast Log'!$A$5:$A$64,$F15,'Forecast Log'!$P$5:$P$64,"YES"))</f>
        <v/>
      </c>
      <c r="O15" s="17" t="str">
        <f>IF($F15="","",L15-SUMPRODUCT(('Forecast Log'!$A$5:$A$64=$F15)*('Forecast Log'!$G$5:$G$64="")*'Forecast Log'!$D$5:$D$64))</f>
        <v/>
      </c>
    </row>
    <row r="16">
      <c r="A16" s="22" t="n">
        <v>46600</v>
      </c>
      <c r="B16" s="17">
        <f>SUMIFS('Forecast Log'!$D$5:$D$64,'Forecast Log'!$B$5:$B$64,$A16)</f>
        <v>0</v>
      </c>
      <c r="C16" s="17">
        <f>SUMIFS('Month-End Provisions'!$C$5:$C$1004,'Month-End Provisions'!$B$5:$B$1004,$A16)</f>
        <v>0</v>
      </c>
      <c r="D16" s="17">
        <f>$C16-$B16</f>
        <v>0</v>
      </c>
      <c r="F16" s="23" t="str">
        <f>IF('Matters Register'!$A16="","",'Matters Register'!$A16)</f>
        <v/>
      </c>
      <c r="G16" s="18" t="str">
        <f>IF($F16="","",_xlfn._xlws.XLOOKUP($F16,'Matters Register'!$A$5:$A$44,'Matters Register'!$B$5:$B$44,""))</f>
        <v/>
      </c>
      <c r="H16" s="18" t="str">
        <f>IF($F16="","",_xlfn._xlws.XLOOKUP($F16,'Matters Register'!$A$5:$A$44,'Matters Register'!$D$5:$D$44,""))</f>
        <v/>
      </c>
      <c r="I16" s="24" t="str">
        <f>IF($F16="","",_xlfn._xlws.XLOOKUP($F16,'Matters Register'!$A$5:$A$44,'Matters Register'!$E$5:$E$44,""))</f>
        <v/>
      </c>
      <c r="J16" s="17" t="str">
        <f>IF($F16="","",SUMIFS('Forecast Log'!$D$5:$D$64,'Forecast Log'!$A$5:$A$64,$F16))</f>
        <v/>
      </c>
      <c r="K16" s="17" t="str">
        <f>IF($F16="","",SUMIFS('Month-End Provisions'!$C$5:$C$1004,'Month-End Provisions'!$A$5:$A$1004,$F16))</f>
        <v/>
      </c>
      <c r="L16" s="17" t="str">
        <f>IF($F16="","",I16-K16)</f>
        <v/>
      </c>
      <c r="M16" s="25" t="str">
        <f>IF(OR($F16="",I16=0),"",K16/I16)</f>
        <v/>
      </c>
      <c r="N16" s="26" t="str">
        <f>IF($F16="","",COUNTIFS('Forecast Log'!$A$5:$A$64,$F16,'Forecast Log'!$P$5:$P$64,"YES"))</f>
        <v/>
      </c>
      <c r="O16" s="17" t="str">
        <f>IF($F16="","",L16-SUMPRODUCT(('Forecast Log'!$A$5:$A$64=$F16)*('Forecast Log'!$G$5:$G$64="")*'Forecast Log'!$D$5:$D$64))</f>
        <v/>
      </c>
    </row>
    <row r="17">
      <c r="A17" s="27" t="inlineStr">
        <is>
          <t>Total</t>
        </is>
      </c>
      <c r="B17" s="28">
        <f>SUM(B5:B16)</f>
        <v>120000</v>
      </c>
      <c r="C17" s="28">
        <f>SUM(C5:C16)</f>
        <v>89500</v>
      </c>
      <c r="D17" s="28">
        <f>SUM(D5:D16)</f>
        <v>-30500</v>
      </c>
      <c r="F17" s="23" t="str">
        <f>IF('Matters Register'!$A17="","",'Matters Register'!$A17)</f>
        <v/>
      </c>
      <c r="G17" s="18" t="str">
        <f>IF($F17="","",_xlfn._xlws.XLOOKUP($F17,'Matters Register'!$A$5:$A$44,'Matters Register'!$B$5:$B$44,""))</f>
        <v/>
      </c>
      <c r="H17" s="18" t="str">
        <f>IF($F17="","",_xlfn._xlws.XLOOKUP($F17,'Matters Register'!$A$5:$A$44,'Matters Register'!$D$5:$D$44,""))</f>
        <v/>
      </c>
      <c r="I17" s="24" t="str">
        <f>IF($F17="","",_xlfn._xlws.XLOOKUP($F17,'Matters Register'!$A$5:$A$44,'Matters Register'!$E$5:$E$44,""))</f>
        <v/>
      </c>
      <c r="J17" s="17" t="str">
        <f>IF($F17="","",SUMIFS('Forecast Log'!$D$5:$D$64,'Forecast Log'!$A$5:$A$64,$F17))</f>
        <v/>
      </c>
      <c r="K17" s="17" t="str">
        <f>IF($F17="","",SUMIFS('Month-End Provisions'!$C$5:$C$1004,'Month-End Provisions'!$A$5:$A$1004,$F17))</f>
        <v/>
      </c>
      <c r="L17" s="17" t="str">
        <f>IF($F17="","",I17-K17)</f>
        <v/>
      </c>
      <c r="M17" s="25" t="str">
        <f>IF(OR($F17="",I17=0),"",K17/I17)</f>
        <v/>
      </c>
      <c r="N17" s="26" t="str">
        <f>IF($F17="","",COUNTIFS('Forecast Log'!$A$5:$A$64,$F17,'Forecast Log'!$P$5:$P$64,"YES"))</f>
        <v/>
      </c>
      <c r="O17" s="17" t="str">
        <f>IF($F17="","",L17-SUMPRODUCT(('Forecast Log'!$A$5:$A$64=$F17)*('Forecast Log'!$G$5:$G$64="")*'Forecast Log'!$D$5:$D$64))</f>
        <v/>
      </c>
    </row>
    <row r="18">
      <c r="F18" s="23" t="str">
        <f>IF('Matters Register'!$A18="","",'Matters Register'!$A18)</f>
        <v/>
      </c>
      <c r="G18" s="18" t="str">
        <f>IF($F18="","",_xlfn._xlws.XLOOKUP($F18,'Matters Register'!$A$5:$A$44,'Matters Register'!$B$5:$B$44,""))</f>
        <v/>
      </c>
      <c r="H18" s="18" t="str">
        <f>IF($F18="","",_xlfn._xlws.XLOOKUP($F18,'Matters Register'!$A$5:$A$44,'Matters Register'!$D$5:$D$44,""))</f>
        <v/>
      </c>
      <c r="I18" s="24" t="str">
        <f>IF($F18="","",_xlfn._xlws.XLOOKUP($F18,'Matters Register'!$A$5:$A$44,'Matters Register'!$E$5:$E$44,""))</f>
        <v/>
      </c>
      <c r="J18" s="17" t="str">
        <f>IF($F18="","",SUMIFS('Forecast Log'!$D$5:$D$64,'Forecast Log'!$A$5:$A$64,$F18))</f>
        <v/>
      </c>
      <c r="K18" s="17" t="str">
        <f>IF($F18="","",SUMIFS('Month-End Provisions'!$C$5:$C$1004,'Month-End Provisions'!$A$5:$A$1004,$F18))</f>
        <v/>
      </c>
      <c r="L18" s="17" t="str">
        <f>IF($F18="","",I18-K18)</f>
        <v/>
      </c>
      <c r="M18" s="25" t="str">
        <f>IF(OR($F18="",I18=0),"",K18/I18)</f>
        <v/>
      </c>
      <c r="N18" s="26" t="str">
        <f>IF($F18="","",COUNTIFS('Forecast Log'!$A$5:$A$64,$F18,'Forecast Log'!$P$5:$P$64,"YES"))</f>
        <v/>
      </c>
      <c r="O18" s="17" t="str">
        <f>IF($F18="","",L18-SUMPRODUCT(('Forecast Log'!$A$5:$A$64=$F18)*('Forecast Log'!$G$5:$G$64="")*'Forecast Log'!$D$5:$D$64))</f>
        <v/>
      </c>
    </row>
    <row r="19">
      <c r="A19" s="29" t="inlineStr">
        <is>
          <t>Open Variances — flagged but not yet reforecast</t>
        </is>
      </c>
      <c r="F19" s="23" t="str">
        <f>IF('Matters Register'!$A19="","",'Matters Register'!$A19)</f>
        <v/>
      </c>
      <c r="G19" s="18" t="str">
        <f>IF($F19="","",_xlfn._xlws.XLOOKUP($F19,'Matters Register'!$A$5:$A$44,'Matters Register'!$B$5:$B$44,""))</f>
        <v/>
      </c>
      <c r="H19" s="18" t="str">
        <f>IF($F19="","",_xlfn._xlws.XLOOKUP($F19,'Matters Register'!$A$5:$A$44,'Matters Register'!$D$5:$D$44,""))</f>
        <v/>
      </c>
      <c r="I19" s="24" t="str">
        <f>IF($F19="","",_xlfn._xlws.XLOOKUP($F19,'Matters Register'!$A$5:$A$44,'Matters Register'!$E$5:$E$44,""))</f>
        <v/>
      </c>
      <c r="J19" s="17" t="str">
        <f>IF($F19="","",SUMIFS('Forecast Log'!$D$5:$D$64,'Forecast Log'!$A$5:$A$64,$F19))</f>
        <v/>
      </c>
      <c r="K19" s="17" t="str">
        <f>IF($F19="","",SUMIFS('Month-End Provisions'!$C$5:$C$1004,'Month-End Provisions'!$A$5:$A$1004,$F19))</f>
        <v/>
      </c>
      <c r="L19" s="17" t="str">
        <f>IF($F19="","",I19-K19)</f>
        <v/>
      </c>
      <c r="M19" s="25" t="str">
        <f>IF(OR($F19="",I19=0),"",K19/I19)</f>
        <v/>
      </c>
      <c r="N19" s="26" t="str">
        <f>IF($F19="","",COUNTIFS('Forecast Log'!$A$5:$A$64,$F19,'Forecast Log'!$P$5:$P$64,"YES"))</f>
        <v/>
      </c>
      <c r="O19" s="17" t="str">
        <f>IF($F19="","",L19-SUMPRODUCT(('Forecast Log'!$A$5:$A$64=$F19)*('Forecast Log'!$G$5:$G$64="")*'Forecast Log'!$D$5:$D$64))</f>
        <v/>
      </c>
    </row>
    <row r="20">
      <c r="A20" s="30" t="inlineStr">
        <is>
          <t>Open items (#)</t>
        </is>
      </c>
      <c r="B20" s="31">
        <f>COUNTIF('Forecast Log'!$P$5:$P$64,"YES")</f>
        <v>2</v>
      </c>
      <c r="F20" s="23" t="str">
        <f>IF('Matters Register'!$A20="","",'Matters Register'!$A20)</f>
        <v/>
      </c>
      <c r="G20" s="18" t="str">
        <f>IF($F20="","",_xlfn._xlws.XLOOKUP($F20,'Matters Register'!$A$5:$A$44,'Matters Register'!$B$5:$B$44,""))</f>
        <v/>
      </c>
      <c r="H20" s="18" t="str">
        <f>IF($F20="","",_xlfn._xlws.XLOOKUP($F20,'Matters Register'!$A$5:$A$44,'Matters Register'!$D$5:$D$44,""))</f>
        <v/>
      </c>
      <c r="I20" s="24" t="str">
        <f>IF($F20="","",_xlfn._xlws.XLOOKUP($F20,'Matters Register'!$A$5:$A$44,'Matters Register'!$E$5:$E$44,""))</f>
        <v/>
      </c>
      <c r="J20" s="17" t="str">
        <f>IF($F20="","",SUMIFS('Forecast Log'!$D$5:$D$64,'Forecast Log'!$A$5:$A$64,$F20))</f>
        <v/>
      </c>
      <c r="K20" s="17" t="str">
        <f>IF($F20="","",SUMIFS('Month-End Provisions'!$C$5:$C$1004,'Month-End Provisions'!$A$5:$A$1004,$F20))</f>
        <v/>
      </c>
      <c r="L20" s="17" t="str">
        <f>IF($F20="","",I20-K20)</f>
        <v/>
      </c>
      <c r="M20" s="25" t="str">
        <f>IF(OR($F20="",I20=0),"",K20/I20)</f>
        <v/>
      </c>
      <c r="N20" s="26" t="str">
        <f>IF($F20="","",COUNTIFS('Forecast Log'!$A$5:$A$64,$F20,'Forecast Log'!$P$5:$P$64,"YES"))</f>
        <v/>
      </c>
      <c r="O20" s="17" t="str">
        <f>IF($F20="","",L20-SUMPRODUCT(('Forecast Log'!$A$5:$A$64=$F20)*('Forecast Log'!$G$5:$G$64="")*'Forecast Log'!$D$5:$D$64))</f>
        <v/>
      </c>
    </row>
    <row r="21">
      <c r="A21" s="30" t="inlineStr">
        <is>
          <t>Open value (£, net)</t>
        </is>
      </c>
      <c r="B21" s="32">
        <f>SUMIFS('Forecast Log'!$H$5:$H$64,'Forecast Log'!$P$5:$P$64,"YES")</f>
        <v>-1000</v>
      </c>
      <c r="F21" s="23" t="str">
        <f>IF('Matters Register'!$A21="","",'Matters Register'!$A21)</f>
        <v/>
      </c>
      <c r="G21" s="18" t="str">
        <f>IF($F21="","",_xlfn._xlws.XLOOKUP($F21,'Matters Register'!$A$5:$A$44,'Matters Register'!$B$5:$B$44,""))</f>
        <v/>
      </c>
      <c r="H21" s="18" t="str">
        <f>IF($F21="","",_xlfn._xlws.XLOOKUP($F21,'Matters Register'!$A$5:$A$44,'Matters Register'!$D$5:$D$44,""))</f>
        <v/>
      </c>
      <c r="I21" s="24" t="str">
        <f>IF($F21="","",_xlfn._xlws.XLOOKUP($F21,'Matters Register'!$A$5:$A$44,'Matters Register'!$E$5:$E$44,""))</f>
        <v/>
      </c>
      <c r="J21" s="17" t="str">
        <f>IF($F21="","",SUMIFS('Forecast Log'!$D$5:$D$64,'Forecast Log'!$A$5:$A$64,$F21))</f>
        <v/>
      </c>
      <c r="K21" s="17" t="str">
        <f>IF($F21="","",SUMIFS('Month-End Provisions'!$C$5:$C$1004,'Month-End Provisions'!$A$5:$A$1004,$F21))</f>
        <v/>
      </c>
      <c r="L21" s="17" t="str">
        <f>IF($F21="","",I21-K21)</f>
        <v/>
      </c>
      <c r="M21" s="25" t="str">
        <f>IF(OR($F21="",I21=0),"",K21/I21)</f>
        <v/>
      </c>
      <c r="N21" s="26" t="str">
        <f>IF($F21="","",COUNTIFS('Forecast Log'!$A$5:$A$64,$F21,'Forecast Log'!$P$5:$P$64,"YES"))</f>
        <v/>
      </c>
      <c r="O21" s="17" t="str">
        <f>IF($F21="","",L21-SUMPRODUCT(('Forecast Log'!$A$5:$A$64=$F21)*('Forecast Log'!$G$5:$G$64="")*'Forecast Log'!$D$5:$D$64))</f>
        <v/>
      </c>
    </row>
    <row r="22">
      <c r="A22" s="30" t="inlineStr">
        <is>
          <t>Oldest open month</t>
        </is>
      </c>
      <c r="B22" s="33">
        <f>IF(COUNTIF('Forecast Log'!$P$5:$P$64,"YES")=0,"",_xlfn.MINIFS('Forecast Log'!$B$5:$B$64,'Forecast Log'!$P$5:$P$64,"YES"))</f>
        <v>46296</v>
      </c>
      <c r="F22" s="23" t="str">
        <f>IF('Matters Register'!$A22="","",'Matters Register'!$A22)</f>
        <v/>
      </c>
      <c r="G22" s="18" t="str">
        <f>IF($F22="","",_xlfn._xlws.XLOOKUP($F22,'Matters Register'!$A$5:$A$44,'Matters Register'!$B$5:$B$44,""))</f>
        <v/>
      </c>
      <c r="H22" s="18" t="str">
        <f>IF($F22="","",_xlfn._xlws.XLOOKUP($F22,'Matters Register'!$A$5:$A$44,'Matters Register'!$D$5:$D$44,""))</f>
        <v/>
      </c>
      <c r="I22" s="24" t="str">
        <f>IF($F22="","",_xlfn._xlws.XLOOKUP($F22,'Matters Register'!$A$5:$A$44,'Matters Register'!$E$5:$E$44,""))</f>
        <v/>
      </c>
      <c r="J22" s="17" t="str">
        <f>IF($F22="","",SUMIFS('Forecast Log'!$D$5:$D$64,'Forecast Log'!$A$5:$A$64,$F22))</f>
        <v/>
      </c>
      <c r="K22" s="17" t="str">
        <f>IF($F22="","",SUMIFS('Month-End Provisions'!$C$5:$C$1004,'Month-End Provisions'!$A$5:$A$1004,$F22))</f>
        <v/>
      </c>
      <c r="L22" s="17" t="str">
        <f>IF($F22="","",I22-K22)</f>
        <v/>
      </c>
      <c r="M22" s="25" t="str">
        <f>IF(OR($F22="",I22=0),"",K22/I22)</f>
        <v/>
      </c>
      <c r="N22" s="26" t="str">
        <f>IF($F22="","",COUNTIFS('Forecast Log'!$A$5:$A$64,$F22,'Forecast Log'!$P$5:$P$64,"YES"))</f>
        <v/>
      </c>
      <c r="O22" s="17" t="str">
        <f>IF($F22="","",L22-SUMPRODUCT(('Forecast Log'!$A$5:$A$64=$F22)*('Forecast Log'!$G$5:$G$64="")*'Forecast Log'!$D$5:$D$64))</f>
        <v/>
      </c>
    </row>
    <row r="23">
      <c r="F23" s="23" t="str">
        <f>IF('Matters Register'!$A23="","",'Matters Register'!$A23)</f>
        <v/>
      </c>
      <c r="G23" s="18" t="str">
        <f>IF($F23="","",_xlfn._xlws.XLOOKUP($F23,'Matters Register'!$A$5:$A$44,'Matters Register'!$B$5:$B$44,""))</f>
        <v/>
      </c>
      <c r="H23" s="18" t="str">
        <f>IF($F23="","",_xlfn._xlws.XLOOKUP($F23,'Matters Register'!$A$5:$A$44,'Matters Register'!$D$5:$D$44,""))</f>
        <v/>
      </c>
      <c r="I23" s="24" t="str">
        <f>IF($F23="","",_xlfn._xlws.XLOOKUP($F23,'Matters Register'!$A$5:$A$44,'Matters Register'!$E$5:$E$44,""))</f>
        <v/>
      </c>
      <c r="J23" s="17" t="str">
        <f>IF($F23="","",SUMIFS('Forecast Log'!$D$5:$D$64,'Forecast Log'!$A$5:$A$64,$F23))</f>
        <v/>
      </c>
      <c r="K23" s="17" t="str">
        <f>IF($F23="","",SUMIFS('Month-End Provisions'!$C$5:$C$1004,'Month-End Provisions'!$A$5:$A$1004,$F23))</f>
        <v/>
      </c>
      <c r="L23" s="17" t="str">
        <f>IF($F23="","",I23-K23)</f>
        <v/>
      </c>
      <c r="M23" s="25" t="str">
        <f>IF(OR($F23="",I23=0),"",K23/I23)</f>
        <v/>
      </c>
      <c r="N23" s="26" t="str">
        <f>IF($F23="","",COUNTIFS('Forecast Log'!$A$5:$A$64,$F23,'Forecast Log'!$P$5:$P$64,"YES"))</f>
        <v/>
      </c>
      <c r="O23" s="17" t="str">
        <f>IF($F23="","",L23-SUMPRODUCT(('Forecast Log'!$A$5:$A$64=$F23)*('Forecast Log'!$G$5:$G$64="")*'Forecast Log'!$D$5:$D$64))</f>
        <v/>
      </c>
    </row>
    <row r="24">
      <c r="F24" s="23" t="str">
        <f>IF('Matters Register'!$A24="","",'Matters Register'!$A24)</f>
        <v/>
      </c>
      <c r="G24" s="18" t="str">
        <f>IF($F24="","",_xlfn._xlws.XLOOKUP($F24,'Matters Register'!$A$5:$A$44,'Matters Register'!$B$5:$B$44,""))</f>
        <v/>
      </c>
      <c r="H24" s="18" t="str">
        <f>IF($F24="","",_xlfn._xlws.XLOOKUP($F24,'Matters Register'!$A$5:$A$44,'Matters Register'!$D$5:$D$44,""))</f>
        <v/>
      </c>
      <c r="I24" s="24" t="str">
        <f>IF($F24="","",_xlfn._xlws.XLOOKUP($F24,'Matters Register'!$A$5:$A$44,'Matters Register'!$E$5:$E$44,""))</f>
        <v/>
      </c>
      <c r="J24" s="17" t="str">
        <f>IF($F24="","",SUMIFS('Forecast Log'!$D$5:$D$64,'Forecast Log'!$A$5:$A$64,$F24))</f>
        <v/>
      </c>
      <c r="K24" s="17" t="str">
        <f>IF($F24="","",SUMIFS('Month-End Provisions'!$C$5:$C$1004,'Month-End Provisions'!$A$5:$A$1004,$F24))</f>
        <v/>
      </c>
      <c r="L24" s="17" t="str">
        <f>IF($F24="","",I24-K24)</f>
        <v/>
      </c>
      <c r="M24" s="25" t="str">
        <f>IF(OR($F24="",I24=0),"",K24/I24)</f>
        <v/>
      </c>
      <c r="N24" s="26" t="str">
        <f>IF($F24="","",COUNTIFS('Forecast Log'!$A$5:$A$64,$F24,'Forecast Log'!$P$5:$P$64,"YES"))</f>
        <v/>
      </c>
      <c r="O24" s="17" t="str">
        <f>IF($F24="","",L24-SUMPRODUCT(('Forecast Log'!$A$5:$A$64=$F24)*('Forecast Log'!$G$5:$G$64="")*'Forecast Log'!$D$5:$D$64))</f>
        <v/>
      </c>
    </row>
    <row r="26">
      <c r="F26" s="2" t="inlineStr">
        <is>
          <t>By Engagement Manager (add/remove names as needed)</t>
        </is>
      </c>
    </row>
    <row r="27">
      <c r="F27" s="5" t="inlineStr">
        <is>
          <t>Engagement Manager</t>
        </is>
      </c>
      <c r="G27" s="5" t="inlineStr">
        <is>
          <t>Forecast to Date (£)</t>
        </is>
      </c>
      <c r="H27" s="5" t="inlineStr">
        <is>
          <t>Actual to Date (£)</t>
        </is>
      </c>
      <c r="I27" s="5" t="inlineStr">
        <is>
          <t>Open (#)</t>
        </is>
      </c>
    </row>
    <row r="28">
      <c r="F28" s="7" t="inlineStr">
        <is>
          <t>Priya Shah</t>
        </is>
      </c>
      <c r="G28" s="17">
        <f>SUMIF($H$5:$H$24,$F28,$J$5:$J$24)</f>
        <v>93000</v>
      </c>
      <c r="H28" s="17">
        <f>SUMIF($H$5:$H$24,$F28,$K$5:$K$24)</f>
        <v>76000</v>
      </c>
      <c r="I28" s="26">
        <f>COUNTIFS('Forecast Log'!$K$5:$K$64,$F28,'Forecast Log'!$P$5:$P$64,"YES")</f>
        <v>2</v>
      </c>
    </row>
    <row r="29">
      <c r="F29" s="7" t="inlineStr">
        <is>
          <t>James Okoro</t>
        </is>
      </c>
      <c r="G29" s="17">
        <f>SUMIF($H$5:$H$24,$F29,$J$5:$J$24)</f>
        <v>27000</v>
      </c>
      <c r="H29" s="17">
        <f>SUMIF($H$5:$H$24,$F29,$K$5:$K$24)</f>
        <v>13500</v>
      </c>
      <c r="I29" s="26">
        <f>COUNTIFS('Forecast Log'!$K$5:$K$64,$F29,'Forecast Log'!$P$5:$P$64,"YES")</f>
        <v>0</v>
      </c>
    </row>
  </sheetData>
  <conditionalFormatting sqref="D5:D16">
    <cfRule type="cellIs" priority="1" operator="lessThan" dxfId="0">
      <formula>0</formula>
    </cfRule>
    <cfRule type="cellIs" priority="2" operator="greaterThan" dxfId="1">
      <formula>0</formula>
    </cfRule>
  </conditionalFormatting>
  <conditionalFormatting sqref="N5:N24">
    <cfRule type="cellIs" priority="3" operator="greaterThan" dxfId="0">
      <formula>0</formula>
    </cfRule>
  </conditionalFormatting>
  <conditionalFormatting sqref="O5:O24">
    <cfRule type="cellIs" priority="4" operator="lessThan" dxfId="0">
      <formula>0</formula>
    </cfRule>
    <cfRule type="cellIs" priority="5" operator="greaterThan" dxfId="1">
      <formula>0</formula>
    </cfRule>
  </conditionalFormatting>
  <conditionalFormatting sqref="I28:I29">
    <cfRule type="cellIs" priority="6" operator="greaterThan" dxfId="0">
      <formula>0</formula>
    </cfRule>
  </conditionalFormatting>
  <conditionalFormatting sqref="B20">
    <cfRule type="cellIs" priority="7" operator="greaterThan" dxfId="0">
      <formula>0</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2026-08-07T07:14:17Z</dcterms:created>
  <dcterms:modified xsi:type="dcterms:W3CDTF">2026-08-07T07:14:17Z</dcterms:modified>
</cp:coreProperties>
</file>